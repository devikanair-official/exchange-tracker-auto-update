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gration Tracker" sheetId="1" state="visible" r:id="rId3"/>
    <sheet name="Milestone Timeline" sheetId="2" state="visible" r:id="rId4"/>
    <sheet name="Cost Savings Summary" sheetId="3" state="visible" r:id="rId5"/>
    <sheet name="Risk Regi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<sst xmlns="http://schemas.openxmlformats.org/spreadsheetml/2006/main" count="743" uniqueCount="505">
  <si>
    <t xml:space="preserve">EXCHANGE MIGRATION TRACKER  |  Vendor Decommission → In-House System  |  CONFIDENTIAL</t>
  </si>
  <si>
    <t xml:space="preserve">Prepared by: Strategy &amp; Technology  |  Date: 30 Jun 2026  |  Version: 2.0 — 30 Exchanges  |  Classification: Internal – Restricted</t>
  </si>
  <si>
    <t xml:space="preserve">#</t>
  </si>
  <si>
    <t xml:space="preserve">Exchange
Name</t>
  </si>
  <si>
    <t xml:space="preserve">Priority
(1=High)</t>
  </si>
  <si>
    <t xml:space="preserve">Description /
Business Role</t>
  </si>
  <si>
    <t xml:space="preserve">Why We Use
This Exchange</t>
  </si>
  <si>
    <t xml:space="preserve">Platform ADV
(Daily Vol, $M)</t>
  </si>
  <si>
    <t xml:space="preserve">Our Volume
on Exchange
($M/day)</t>
  </si>
  <si>
    <t xml:space="preserve">Deals Traded
Through Platform
(Monthly)</t>
  </si>
  <si>
    <t xml:space="preserve">Asset Classes
/ Products</t>
  </si>
  <si>
    <t xml:space="preserve">What's on
the Table</t>
  </si>
  <si>
    <t xml:space="preserve">Risks &amp;
Dependencies</t>
  </si>
  <si>
    <t xml:space="preserve">Critical?
(Y/N)</t>
  </si>
  <si>
    <t xml:space="preserve">Reason for
Criticality</t>
  </si>
  <si>
    <t xml:space="preserve">Est. Annual
Cost (Vendor)
($K)</t>
  </si>
  <si>
    <t xml:space="preserve">Est. Annual
Cost (In-House)
($K)</t>
  </si>
  <si>
    <t xml:space="preserve">Est. Cost
Saving
($K/yr)</t>
  </si>
  <si>
    <t xml:space="preserve">ETA Exchange
Setup</t>
  </si>
  <si>
    <t xml:space="preserve">Migration
Status</t>
  </si>
  <si>
    <t xml:space="preserve">Notes /
Actions</t>
  </si>
  <si>
    <t xml:space="preserve">CME Group</t>
  </si>
  <si>
    <t xml:space="preserve">Premier global derivatives exchange for interest rate, equity index, FX, and commodity futures.</t>
  </si>
  <si>
    <t xml:space="preserve">Sole venue for many regulated futures contracts core to macro hedging strategy; deepest liquidity in rates complex.</t>
  </si>
  <si>
    <t xml:space="preserve">Interest Rate Futures, Equity Index Futures, FX Futures</t>
  </si>
  <si>
    <t xml:space="preserve">Migrate FCM relationship and clearing connectivity to in-house order routing.</t>
  </si>
  <si>
    <t xml:space="preserve">FCM clearing transition risk; margin methodology differences (SPAN vs in-house); regulatory reporting continuity.</t>
  </si>
  <si>
    <t xml:space="preserve">Y</t>
  </si>
  <si>
    <t xml:space="preserve">Core macro hedging venue; rates futures positions cannot be easily rerouted; clearing relationship is foundational.</t>
  </si>
  <si>
    <t xml:space="preserve">Oct 2025</t>
  </si>
  <si>
    <t xml:space="preserve">Scoping</t>
  </si>
  <si>
    <t xml:space="preserve">Coordinate with clearing broker on account transfer timeline.</t>
  </si>
  <si>
    <t xml:space="preserve">NYSE</t>
  </si>
  <si>
    <t xml:space="preserve">Primary US listed equities exchange; largest source of large-cap equity execution.</t>
  </si>
  <si>
    <t xml:space="preserve">Best execution venue for large-cap US equities; required for certain index arb and basket trading strategies.</t>
  </si>
  <si>
    <t xml:space="preserve">Listed Equities, ETFs</t>
  </si>
  <si>
    <t xml:space="preserve">Migrate DMA (direct market access) connectivity and smart order routing logic in-house.</t>
  </si>
  <si>
    <t xml:space="preserve">SEC Reg NMS compliance continuity; smart order router recalibration; best-execution reporting obligations.</t>
  </si>
  <si>
    <t xml:space="preserve">Core US equity execution venue; best-execution obligations under Reg NMS make this compliance-critical.</t>
  </si>
  <si>
    <t xml:space="preserve">Confirm DMA sponsor relationship survives vendor transition.</t>
  </si>
  <si>
    <t xml:space="preserve">Binance</t>
  </si>
  <si>
    <t xml:space="preserve">World's largest centralised crypto exchange; core venue for spot, futures, and options.</t>
  </si>
  <si>
    <t xml:space="preserve">Dominant global liquidity pool; tightest spreads on BTC/ETH; primary venue for block execution and delta hedging.</t>
  </si>
  <si>
    <t xml:space="preserve">Spot, Futures, Options, Margin</t>
  </si>
  <si>
    <t xml:space="preserve">Migrate API key mgmt, execution algos, and post-trade reporting to proprietary OMS.</t>
  </si>
  <si>
    <t xml:space="preserve">API rate-limit changes; co-location SLA renegotiation; KYC/AML continuity; high value at risk.</t>
  </si>
  <si>
    <t xml:space="preserve">Largest single-venue volume contributor; BTC/ETH delta hedges run through Binance; outage = unhedged exposure.</t>
  </si>
  <si>
    <t xml:space="preserve">Sep 2025</t>
  </si>
  <si>
    <t xml:space="preserve">In Planning</t>
  </si>
  <si>
    <t xml:space="preserve">Engage Binance institutional desk early; parallel-run 4 weeks.</t>
  </si>
  <si>
    <t xml:space="preserve">Nasdaq</t>
  </si>
  <si>
    <t xml:space="preserve">Major US equities and options exchange, heavy concentration in technology and growth names.</t>
  </si>
  <si>
    <t xml:space="preserve">Primary venue for tech-sector equity exposure; deep options liquidity for hedging single-name positions.</t>
  </si>
  <si>
    <t xml:space="preserve">Listed Equities, Options</t>
  </si>
  <si>
    <t xml:space="preserve">Migrate market data feed and order entry gateway to in-house infrastructure.</t>
  </si>
  <si>
    <t xml:space="preserve">Market data licensing renegotiation; options margin treatment differences; gateway certification timeline.</t>
  </si>
  <si>
    <t xml:space="preserve">Concentrated tech exposure runs through Nasdaq; options hedges are time-sensitive and execution-critical.</t>
  </si>
  <si>
    <t xml:space="preserve">Nov 2025</t>
  </si>
  <si>
    <t xml:space="preserve">Begin Nasdaq market data licensing renewal process early.</t>
  </si>
  <si>
    <t xml:space="preserve">EBS (CME FX)</t>
  </si>
  <si>
    <t xml:space="preserve">Institutional interbank FX trading platform for spot and forward FX.</t>
  </si>
  <si>
    <t xml:space="preserve">Primary venue for G10 FX spot execution; required for currency overlay hedging on international positions.</t>
  </si>
  <si>
    <t xml:space="preserve">FX Spot, FX Forwards</t>
  </si>
  <si>
    <t xml:space="preserve">Migrate FX execution algos and credit line management to proprietary system.</t>
  </si>
  <si>
    <t xml:space="preserve">Credit line / prime brokerage continuity; FX settlement (CLS) timing; algo execution recalibration.</t>
  </si>
  <si>
    <t xml:space="preserve">Currency overlay hedges run continuously; disruption creates immediate unhedged FX exposure on international book.</t>
  </si>
  <si>
    <t xml:space="preserve">Confirm CLS settlement membership transfers cleanly.</t>
  </si>
  <si>
    <t xml:space="preserve">Polymarket</t>
  </si>
  <si>
    <t xml:space="preserve">Leading decentralised prediction &amp; perpetuals market; highest perpetual trade flow in the portfolio.</t>
  </si>
  <si>
    <t xml:space="preserve">Primary source of high-frequency perpetual contract flow; superior liquidity depth on crypto perps; critical for short-dated positioning.</t>
  </si>
  <si>
    <t xml:space="preserve">Crypto Perpetuals, Prediction Contracts</t>
  </si>
  <si>
    <t xml:space="preserve">Full API migration of perps order routing and position management to in-house execution layer.</t>
  </si>
  <si>
    <t xml:space="preserve">High latency risk during cutover; smart-contract settlement differences; regulatory classification of prediction contracts.</t>
  </si>
  <si>
    <t xml:space="preserve">Highest perpetual trade volume; any disruption directly impacts daily book P&amp;L and margin utilisation.</t>
  </si>
  <si>
    <t xml:space="preserve">Aug 2025</t>
  </si>
  <si>
    <t xml:space="preserve">Prioritise sandbox testing with full order-book replay before go-live.</t>
  </si>
  <si>
    <t xml:space="preserve">Deribit</t>
  </si>
  <si>
    <t xml:space="preserve">Leading crypto options and futures exchange, dominant in BTC/ETH options liquidity.</t>
  </si>
  <si>
    <t xml:space="preserve">Primary venue for crypto options strategies; deepest order book for BTC/ETH vol trading.</t>
  </si>
  <si>
    <t xml:space="preserve">Crypto Options, Crypto Futures</t>
  </si>
  <si>
    <t xml:space="preserve">Migrate options pricing feed and execution algos to in-house vol desk infrastructure.</t>
  </si>
  <si>
    <t xml:space="preserve">Options liquidity concentration risk; API throttling at high volume; offshore regulatory status.</t>
  </si>
  <si>
    <t xml:space="preserve">Crypto options book is a major P&amp;L driver; Deribit has no comparable liquidity alternative.</t>
  </si>
  <si>
    <t xml:space="preserve">Coordinate with vol desk on parallel execution testing.</t>
  </si>
  <si>
    <t xml:space="preserve">Eurex</t>
  </si>
  <si>
    <t xml:space="preserve">Leading European derivatives exchange for equity index and interest rate futures.</t>
  </si>
  <si>
    <t xml:space="preserve">Core venue for European rates and index futures hedging, complementing CME for global macro book.</t>
  </si>
  <si>
    <t xml:space="preserve">Interest Rate Futures, Equity Index Futures</t>
  </si>
  <si>
    <t xml:space="preserve">Migrate clearing and execution connectivity to in-house European desk infrastructure.</t>
  </si>
  <si>
    <t xml:space="preserve">EU clearing member transfer; margin methodology alignment with CME positions; Brexit-related access rules.</t>
  </si>
  <si>
    <t xml:space="preserve">European leg of the global macro hedge; gaps here leave regional rate exposure unhedged.</t>
  </si>
  <si>
    <t xml:space="preserve">Dec 2025</t>
  </si>
  <si>
    <t xml:space="preserve">Planned</t>
  </si>
  <si>
    <t xml:space="preserve">Align migration timing with CME to keep margin netting benefits.</t>
  </si>
  <si>
    <t xml:space="preserve">CBOE</t>
  </si>
  <si>
    <t xml:space="preserve">Largest US options exchange; primary venue for index options and volatility products.</t>
  </si>
  <si>
    <t xml:space="preserve">Core venue for VIX and SPX options used in portfolio hedging and volatility strategies.</t>
  </si>
  <si>
    <t xml:space="preserve">Index Options, VIX Futures</t>
  </si>
  <si>
    <t xml:space="preserve">Migrate options execution algos and Greeks risk feed to in-house systems.</t>
  </si>
  <si>
    <t xml:space="preserve">Complex options margining (SPAN); volatility product settlement timing; market maker relationship continuity.</t>
  </si>
  <si>
    <t xml:space="preserve">Volatility hedges are central to the book's tail-risk protection; any gap exposes the fund to unhedged drawdowns.</t>
  </si>
  <si>
    <t xml:space="preserve">Validate Greeks calculation parity between vendor and in-house before cutover.</t>
  </si>
  <si>
    <t xml:space="preserve">Coinbase</t>
  </si>
  <si>
    <t xml:space="preserve">Largest US-regulated crypto exchange; key venue for compliant institutional crypto access.</t>
  </si>
  <si>
    <t xml:space="preserve">Provides regulatory-clean custody and execution for US-domiciled crypto exposure; required for certain mandates.</t>
  </si>
  <si>
    <t xml:space="preserve">Spot Crypto, Custody, Staking</t>
  </si>
  <si>
    <t xml:space="preserve">Migrate custody reporting and execution API to in-house, retaining Coinbase Prime relationship.</t>
  </si>
  <si>
    <t xml:space="preserve">Custody segregation requirements; SEC regulatory status uncertainty; API rate limits on institutional tier.</t>
  </si>
  <si>
    <t xml:space="preserve">Only US-regulated venue for several crypto mandates; compliance exposure if connectivity lapses.</t>
  </si>
  <si>
    <t xml:space="preserve">Confirm Coinbase Prime custody arrangement is unaffected by API migration.</t>
  </si>
  <si>
    <t xml:space="preserve">Tradeweb</t>
  </si>
  <si>
    <t xml:space="preserve">Institutional fixed income and FX trading platform, key venue for bond and rates execution.</t>
  </si>
  <si>
    <t xml:space="preserve">Primary venue for government bond and credit execution supporting the fixed income book.</t>
  </si>
  <si>
    <t xml:space="preserve">Government Bonds, Credit, FX Swaps</t>
  </si>
  <si>
    <t xml:space="preserve">Migrate fixed income RFQ workflow and execution to in-house fixed income desk system.</t>
  </si>
  <si>
    <t xml:space="preserve">Dealer panel continuity; RFQ protocol complexity; credit market liquidity fragmentation.</t>
  </si>
  <si>
    <t xml:space="preserve">Core fixed income execution venue; bond book liquidity sourcing is concentrated here.</t>
  </si>
  <si>
    <t xml:space="preserve">Coordinate closely with fixed income desk on RFQ workflow parity.</t>
  </si>
  <si>
    <t xml:space="preserve">Bullish</t>
  </si>
  <si>
    <t xml:space="preserve">Institutional-grade regulated crypto exchange with deep order books and embedded market-making.</t>
  </si>
  <si>
    <t xml:space="preserve">Preferred institutional venue for large-size trades and regulatory reporting; MiCA-aligned.</t>
  </si>
  <si>
    <t xml:space="preserve">Spot Crypto, Block Trades, Staking</t>
  </si>
  <si>
    <t xml:space="preserve">Transition block-trade workflow and custody reporting to native platform.</t>
  </si>
  <si>
    <t xml:space="preserve">FIX protocol customisation effort; fewer counterparties vs Binance; slippage risk during migration.</t>
  </si>
  <si>
    <t xml:space="preserve">Regulated venue required for compliance reporting; large block orders cannot easily reroute to alternatives.</t>
  </si>
  <si>
    <t xml:space="preserve">Obtain FIX spec from Bullish institutional team.</t>
  </si>
  <si>
    <t xml:space="preserve">LSEG (London Stock Exchange)</t>
  </si>
  <si>
    <t xml:space="preserve">Primary UK/European listed equities exchange.</t>
  </si>
  <si>
    <t xml:space="preserve">Required for European equity exposure and GBP-denominated index strategies.</t>
  </si>
  <si>
    <t xml:space="preserve">Migrate European DMA connectivity and MiFID II reporting to in-house gateway.</t>
  </si>
  <si>
    <t xml:space="preserve">MiFID II transaction reporting continuity; European market data licensing; timezone overlap for support.</t>
  </si>
  <si>
    <t xml:space="preserve">MiFID II reporting obligations are compliance-critical; cannot have a reporting gap on European trades.</t>
  </si>
  <si>
    <t xml:space="preserve">Engage compliance early on MiFID II RTS 27/28 reporting continuity.</t>
  </si>
  <si>
    <t xml:space="preserve">MarketAxess</t>
  </si>
  <si>
    <t xml:space="preserve">Leading electronic credit trading platform, dominant in corporate bond execution.</t>
  </si>
  <si>
    <t xml:space="preserve">Primary venue for corporate credit execution, particularly investment-grade and high-yield bonds.</t>
  </si>
  <si>
    <t xml:space="preserve">Corporate Bonds, Credit Derivatives</t>
  </si>
  <si>
    <t xml:space="preserve">Migrate credit execution algos and bond pricing feed to in-house fixed income infrastructure.</t>
  </si>
  <si>
    <t xml:space="preserve">Credit liquidity concentration; dealer relationship continuity; bond pricing feed licensing.</t>
  </si>
  <si>
    <t xml:space="preserve">Primary credit execution venue; corporate bond book has limited alternative liquidity sources.</t>
  </si>
  <si>
    <t xml:space="preserve">Validate bond pricing feed parity before migrating execution flow.</t>
  </si>
  <si>
    <t xml:space="preserve">Hong Kong Exchanges (HKEX)</t>
  </si>
  <si>
    <t xml:space="preserve">Primary Hong Kong equities exchange, key gateway to mainland China exposure via Stock Connect.</t>
  </si>
  <si>
    <t xml:space="preserve">Required for Asia-ex-Japan equity exposure and China A-share access via Connect programme.</t>
  </si>
  <si>
    <t xml:space="preserve">Listed Equities, Stock Connect, Derivatives</t>
  </si>
  <si>
    <t xml:space="preserve">Migrate Stock Connect quota management and execution routing to in-house systems.</t>
  </si>
  <si>
    <t xml:space="preserve">Stock Connect quota/regulatory complexity; China access restrictions; settlement cycle differences (T+0/T+1).</t>
  </si>
  <si>
    <t xml:space="preserve">Stock Connect access is regulatory-sensitive and quota-managed; mishandling risks loss of China market access.</t>
  </si>
  <si>
    <t xml:space="preserve">Feb 2026</t>
  </si>
  <si>
    <t xml:space="preserve">Legal review of Stock Connect quota transfer requirements.</t>
  </si>
  <si>
    <t xml:space="preserve">BSE (Bombay Stock Exchange)</t>
  </si>
  <si>
    <t xml:space="preserve">Major Indian equities exchange alongside NSE, used for India equity exposure.</t>
  </si>
  <si>
    <t xml:space="preserve">Required for India equity allocation within emerging markets strategy.</t>
  </si>
  <si>
    <t xml:space="preserve">Listed Equities</t>
  </si>
  <si>
    <t xml:space="preserve">Migrate India market access and FPI (Foreign Portfolio Investor) reporting to in-house systems.</t>
  </si>
  <si>
    <t xml:space="preserve">FPI registration complexity; local custodian relationship; capital controls and repatriation rules.</t>
  </si>
  <si>
    <t xml:space="preserve">FPI registration and reporting obligations are compliance-critical for continued India market access.</t>
  </si>
  <si>
    <t xml:space="preserve">Mar 2026</t>
  </si>
  <si>
    <t xml:space="preserve">Engage local custodian and compliance early on FPI continuity.</t>
  </si>
  <si>
    <t xml:space="preserve">LMX (LedgerX)</t>
  </si>
  <si>
    <t xml:space="preserve">CFTC-regulated crypto derivatives exchange focused on physically-settled Bitcoin options and futures.</t>
  </si>
  <si>
    <t xml:space="preserve">Sole source of physically-settled BTC options; required for regulatory capital treatment of certain positions.</t>
  </si>
  <si>
    <t xml:space="preserve">BTC Options (Physical), BTC Futures</t>
  </si>
  <si>
    <t xml:space="preserve">Migrate CFTC-reportable trade booking and margin calls to in-house middle-office.</t>
  </si>
  <si>
    <t xml:space="preserve">CFTC reporting must not lapse; complex margining; limited tail-strike liquidity; long clearing approval lead time.</t>
  </si>
  <si>
    <t xml:space="preserve">CFTC-regulated; physically-settled options require specific clearing setup; compliance breach risk if mishandled.</t>
  </si>
  <si>
    <t xml:space="preserve">Legal review of CFTC reporting obligations before any cutover.</t>
  </si>
  <si>
    <t xml:space="preserve">ICE Futures</t>
  </si>
  <si>
    <t xml:space="preserve">Global derivatives exchange for energy, agricultural, and financial futures including Brent crude.</t>
  </si>
  <si>
    <t xml:space="preserve">Used for commodity exposure hedging, particularly energy-linked macro positions.</t>
  </si>
  <si>
    <t xml:space="preserve">Energy Futures, Agricultural Futures</t>
  </si>
  <si>
    <t xml:space="preserve">Migrate clearing connectivity and futures order routing to in-house OMS.</t>
  </si>
  <si>
    <t xml:space="preserve">Clearing member transfer; physical delivery logistics for certain contracts; margin call timing.</t>
  </si>
  <si>
    <t xml:space="preserve">N</t>
  </si>
  <si>
    <t xml:space="preserve">Commodity hedges are tactical rather than core; some flexibility on migration timing exists.</t>
  </si>
  <si>
    <t xml:space="preserve">Jan 2026</t>
  </si>
  <si>
    <t xml:space="preserve">Sequence after CME given overlapping clearing infrastructure work.</t>
  </si>
  <si>
    <t xml:space="preserve">OKX</t>
  </si>
  <si>
    <t xml:space="preserve">Major global crypto exchange with strong derivatives and perpetuals offering.</t>
  </si>
  <si>
    <t xml:space="preserve">Secondary perpetuals venue providing redundancy and additional liquidity outside Binance/Polymarket.</t>
  </si>
  <si>
    <t xml:space="preserve">Crypto Spot, Perpetuals, Options</t>
  </si>
  <si>
    <t xml:space="preserve">Migrate perpetuals execution and funding rate monitoring to in-house system.</t>
  </si>
  <si>
    <t xml:space="preserve">Offshore regulatory status; geo-restriction compliance; lower liquidity depth vs Binance in stress events.</t>
  </si>
  <si>
    <t xml:space="preserve">Secondary/redundancy venue; primary perp flow runs through Polymarket and Binance.</t>
  </si>
  <si>
    <t xml:space="preserve">Lower priority; functions as liquidity backstop only.</t>
  </si>
  <si>
    <t xml:space="preserve">Refinitiv FXall</t>
  </si>
  <si>
    <t xml:space="preserve">Multi-bank FX trading platform aggregating liquidity from major dealing banks.</t>
  </si>
  <si>
    <t xml:space="preserve">Used for larger FX block trades and RFQ-based execution where EBS liquidity is insufficient.</t>
  </si>
  <si>
    <t xml:space="preserve">FX Spot, FX Forwards, FX Swaps</t>
  </si>
  <si>
    <t xml:space="preserve">Migrate RFQ workflow and dealer panel management in-house.</t>
  </si>
  <si>
    <t xml:space="preserve">Dealer relationship continuity; RFQ protocol differences; liquidity provider onboarding lag.</t>
  </si>
  <si>
    <t xml:space="preserve">Secondary FX venue; EBS can absorb most flow short-term if migration is delayed.</t>
  </si>
  <si>
    <t xml:space="preserve">Lower urgency; can follow EBS migration by one quarter.</t>
  </si>
  <si>
    <t xml:space="preserve">Japan Exchange Group (JPX)</t>
  </si>
  <si>
    <t xml:space="preserve">Primary Japanese equities and derivatives exchange including Nikkei 225 futures.</t>
  </si>
  <si>
    <t xml:space="preserve">Used for Japan equity exposure and Nikkei index hedging within the global equity book.</t>
  </si>
  <si>
    <t xml:space="preserve">Listed Equities, Nikkei 225 Futures</t>
  </si>
  <si>
    <t xml:space="preserve">Migrate Tokyo-hours execution connectivity and local clearing relationship in-house.</t>
  </si>
  <si>
    <t xml:space="preserve">Timezone coverage gap for support; local clearing member requirements; yen settlement timing.</t>
  </si>
  <si>
    <t xml:space="preserve">Japan exposure is a smaller book segment; some delay tolerance exists if local desk coverage is maintained.</t>
  </si>
  <si>
    <t xml:space="preserve">Confirm Tokyo desk coverage hours before scheduling cutover.</t>
  </si>
  <si>
    <t xml:space="preserve">Kraken</t>
  </si>
  <si>
    <t xml:space="preserve">US-based regulated crypto exchange with strong spot and staking services.</t>
  </si>
  <si>
    <t xml:space="preserve">Used for compliant spot crypto exposure and staking yield generation on idle crypto balances.</t>
  </si>
  <si>
    <t xml:space="preserve">Spot Crypto, Staking, Futures</t>
  </si>
  <si>
    <t xml:space="preserve">Migrate spot execution and staking reward reconciliation to in-house treasury system.</t>
  </si>
  <si>
    <t xml:space="preserve">Staking reward tax treatment; custody insurance continuity; US regulatory licensing scope changes.</t>
  </si>
  <si>
    <t xml:space="preserve">Secondary spot venue; staking yield is incremental, not core to strategy P&amp;L.</t>
  </si>
  <si>
    <t xml:space="preserve">Bundle with Coinbase migration given overlapping US compliance review.</t>
  </si>
  <si>
    <t xml:space="preserve">Singapore Exchange (SGX)</t>
  </si>
  <si>
    <t xml:space="preserve">Key Asian derivatives exchange, dominant in offshore China A50 and Asian FX futures.</t>
  </si>
  <si>
    <t xml:space="preserve">Used for Asia-ex-Japan macro hedging and offshore China exposure via A50 futures.</t>
  </si>
  <si>
    <t xml:space="preserve">Equity Index Futures, FX Futures, Commodities</t>
  </si>
  <si>
    <t xml:space="preserve">Migrate execution connectivity for offshore Asia futures book to in-house OMS.</t>
  </si>
  <si>
    <t xml:space="preserve">Lower liquidity in stress events vs CME/Eurex; clearing member onboarding timeline.</t>
  </si>
  <si>
    <t xml:space="preserve">Tactical hedging venue; positions can be temporarily managed via OTC alternatives if migration slips.</t>
  </si>
  <si>
    <t xml:space="preserve">Lowest priority within futures group; sequence last.</t>
  </si>
  <si>
    <t xml:space="preserve">Bybit</t>
  </si>
  <si>
    <t xml:space="preserve">Major crypto derivatives exchange with strong perpetuals and options volume.</t>
  </si>
  <si>
    <t xml:space="preserve">Tertiary perpetuals venue providing additional redundancy and arbitrage opportunities.</t>
  </si>
  <si>
    <t xml:space="preserve">Perpetuals, Options</t>
  </si>
  <si>
    <t xml:space="preserve">Migrate perpetuals execution and funding arbitrage monitoring in-house.</t>
  </si>
  <si>
    <t xml:space="preserve">Offshore regulatory status; geo-restriction risk; lower institutional-grade support vs top-tier venues.</t>
  </si>
  <si>
    <t xml:space="preserve">Used for arbitrage and redundancy; not core to primary execution strategy.</t>
  </si>
  <si>
    <t xml:space="preserve">Evaluate ongoing necessity post-migration of primary venues.</t>
  </si>
  <si>
    <t xml:space="preserve">Cboe FX</t>
  </si>
  <si>
    <t xml:space="preserve">Institutional FX trading venue offering spot, forwards, and NDFs.</t>
  </si>
  <si>
    <t xml:space="preserve">Secondary FX venue used for NDF execution on emerging market currency exposure.</t>
  </si>
  <si>
    <t xml:space="preserve">FX Spot, NDFs</t>
  </si>
  <si>
    <t xml:space="preserve">Migrate NDF execution workflow and EM currency settlement to in-house system.</t>
  </si>
  <si>
    <t xml:space="preserve">NDF settlement complexity; counterparty credit lines; EM currency liquidity constraints.</t>
  </si>
  <si>
    <t xml:space="preserve">EM currency hedging is a smaller book segment; some delay tolerance exists.</t>
  </si>
  <si>
    <t xml:space="preserve">Coordinate NDF migration with FX overlay desk.</t>
  </si>
  <si>
    <t xml:space="preserve">360T</t>
  </si>
  <si>
    <t xml:space="preserve">Multi-dealer FX platform popular for corporate and institutional FX execution in Europe.</t>
  </si>
  <si>
    <t xml:space="preserve">Used for EUR-cross FX execution and European FX liquidity sourcing.</t>
  </si>
  <si>
    <t xml:space="preserve">Migrate dealer panel and execution workflow to proprietary FX desk infrastructure.</t>
  </si>
  <si>
    <t xml:space="preserve">Dealer relationship continuity; European regulatory (MiFID II) execution reporting requirements.</t>
  </si>
  <si>
    <t xml:space="preserve">Secondary European FX venue; EBS/FXall can absorb flow short-term.</t>
  </si>
  <si>
    <t xml:space="preserve">Sequence after primary FX venues (EBS, FXall).</t>
  </si>
  <si>
    <t xml:space="preserve">Bitfinex</t>
  </si>
  <si>
    <t xml:space="preserve">Established crypto exchange with deep margin trading and lending markets.</t>
  </si>
  <si>
    <t xml:space="preserve">Used for crypto margin financing and occasional liquidity sourcing during volatility events.</t>
  </si>
  <si>
    <t xml:space="preserve">Spot Crypto, Margin Trading, Lending</t>
  </si>
  <si>
    <t xml:space="preserve">Migrate margin financing connectivity and lending desk integration in-house.</t>
  </si>
  <si>
    <t xml:space="preserve">Historical regulatory scrutiny; counterparty concentration risk; lower institutional liquidity vs top-tier venues.</t>
  </si>
  <si>
    <t xml:space="preserve">Used opportunistically rather than as a core execution venue; lower migration urgency.</t>
  </si>
  <si>
    <t xml:space="preserve">Monitor counterparty risk; deprioritise unless usage increases.</t>
  </si>
  <si>
    <t xml:space="preserve">Bitstamp</t>
  </si>
  <si>
    <t xml:space="preserve">One of the oldest regulated crypto exchanges, strong EU regulatory standing.</t>
  </si>
  <si>
    <t xml:space="preserve">Provides EU-regulated crypto access complementing Coinbase's US coverage.</t>
  </si>
  <si>
    <t xml:space="preserve">Spot Crypto</t>
  </si>
  <si>
    <t xml:space="preserve">Migrate EU-regulated execution and custody reporting to in-house system.</t>
  </si>
  <si>
    <t xml:space="preserve">EU MiCA licensing transition; smaller liquidity pool; redundant coverage with Coinbase/Kraken.</t>
  </si>
  <si>
    <t xml:space="preserve">Redundant EU coverage; can be migrated opportunistically without urgency.</t>
  </si>
  <si>
    <t xml:space="preserve">Low-priority; consider consolidating into Coinbase/Kraken coverage instead.</t>
  </si>
  <si>
    <t xml:space="preserve">B3 (Brazil Exchange)</t>
  </si>
  <si>
    <t xml:space="preserve">Primary Brazilian exchange for equities and futures, key Latin America gateway.</t>
  </si>
  <si>
    <t xml:space="preserve">Used for Brazil/LatAm equity and rates futures exposure within EM allocation.</t>
  </si>
  <si>
    <t xml:space="preserve">Listed Equities, Interest Rate Futures</t>
  </si>
  <si>
    <t xml:space="preserve">Migrate LatAm execution connectivity and local clearing relationship in-house.</t>
  </si>
  <si>
    <t xml:space="preserve">Local clearing member requirements; BRL currency controls; lower English-language vendor support.</t>
  </si>
  <si>
    <t xml:space="preserve">Smaller EM allocation segment; some delay tolerance exists.</t>
  </si>
  <si>
    <t xml:space="preserve">Apr 2026</t>
  </si>
  <si>
    <t xml:space="preserve">Lowest priority in equities group; sequence last.</t>
  </si>
  <si>
    <t xml:space="preserve">Johannesburg Stock Exchange (JSE)</t>
  </si>
  <si>
    <t xml:space="preserve">Primary South African exchange, gateway to broader African market exposure.</t>
  </si>
  <si>
    <t xml:space="preserve">Used for limited Africa-exposure equity allocation within EM strategy.</t>
  </si>
  <si>
    <t xml:space="preserve">Migrate execution connectivity for African equity allocation to in-house systems.</t>
  </si>
  <si>
    <t xml:space="preserve">Currency controls (ZAR); local settlement infrastructure; small allocation size reduces urgency.</t>
  </si>
  <si>
    <t xml:space="preserve">Smallest allocation in the portfolio; minimal migration urgency.</t>
  </si>
  <si>
    <t xml:space="preserve">Candidate for deferral beyond initial migration wave if resourcing is constrained.</t>
  </si>
  <si>
    <t xml:space="preserve">TOTALS / AGGREGATES</t>
  </si>
  <si>
    <t xml:space="preserve">LEGEND</t>
  </si>
  <si>
    <t xml:space="preserve">Priority 1-10</t>
  </si>
  <si>
    <t xml:space="preserve">Wave 1 — Aug–Nov 2025</t>
  </si>
  <si>
    <t xml:space="preserve">Priority 11-20</t>
  </si>
  <si>
    <t xml:space="preserve">Wave 2 — Nov 2025–Feb 2026</t>
  </si>
  <si>
    <t xml:space="preserve">Priority 21-30</t>
  </si>
  <si>
    <t xml:space="preserve">Wave 3 — Feb–Apr 2026</t>
  </si>
  <si>
    <t xml:space="preserve">Critical = Y</t>
  </si>
  <si>
    <t xml:space="preserve">Board-notifiable risk</t>
  </si>
  <si>
    <t xml:space="preserve">Vendor review stage</t>
  </si>
  <si>
    <t xml:space="preserve">Technical design stage</t>
  </si>
  <si>
    <t xml:space="preserve">Queued, not yet started</t>
  </si>
  <si>
    <t xml:space="preserve">MIGRATION MILESTONE TIMELINE  |  Vendor Decommission Programme</t>
  </si>
  <si>
    <t xml:space="preserve">Phase</t>
  </si>
  <si>
    <t xml:space="preserve">Milestone</t>
  </si>
  <si>
    <t xml:space="preserve">Owner</t>
  </si>
  <si>
    <t xml:space="preserve">Exchange(s)</t>
  </si>
  <si>
    <t xml:space="preserve">Start Date</t>
  </si>
  <si>
    <t xml:space="preserve">End Date</t>
  </si>
  <si>
    <t xml:space="preserve">Status</t>
  </si>
  <si>
    <t xml:space="preserve">Notes</t>
  </si>
  <si>
    <t xml:space="preserve">0 – Discovery</t>
  </si>
  <si>
    <t xml:space="preserve">Vendor contract review &amp; cost audit</t>
  </si>
  <si>
    <t xml:space="preserve">CFO / Legal</t>
  </si>
  <si>
    <t xml:space="preserve">All 30</t>
  </si>
  <si>
    <t xml:space="preserve">01 Jun 2025</t>
  </si>
  <si>
    <t xml:space="preserve">15 Jun 2025</t>
  </si>
  <si>
    <t xml:space="preserve">Complete</t>
  </si>
  <si>
    <t xml:space="preserve">Confirmed total annual vendor spend across all venues</t>
  </si>
  <si>
    <t xml:space="preserve">Internal system capability assessment</t>
  </si>
  <si>
    <t xml:space="preserve">CTO / Engineering</t>
  </si>
  <si>
    <t xml:space="preserve">20 Jun 2025</t>
  </si>
  <si>
    <t xml:space="preserve">In-house OMS confirmed extensible across asset classes</t>
  </si>
  <si>
    <t xml:space="preserve">1 – Design</t>
  </si>
  <si>
    <t xml:space="preserve">Architecture sign-off for in-house execution layer</t>
  </si>
  <si>
    <t xml:space="preserve">CTO</t>
  </si>
  <si>
    <t xml:space="preserve">21 Jun 2025</t>
  </si>
  <si>
    <t xml:space="preserve">05 Jul 2025</t>
  </si>
  <si>
    <t xml:space="preserve">In Progress</t>
  </si>
  <si>
    <t xml:space="preserve">Draft reviewed; board approval pending</t>
  </si>
  <si>
    <t xml:space="preserve">Wave 1 connectivity specs finalised (Priority 1-10)</t>
  </si>
  <si>
    <t xml:space="preserve">Engineering</t>
  </si>
  <si>
    <t xml:space="preserve">Wave 1</t>
  </si>
  <si>
    <t xml:space="preserve">25 Jul 2025</t>
  </si>
  <si>
    <t xml:space="preserve">Polymarket, Binance, CME, NYSE, EBS, Tradeweb, Deribit, etc.</t>
  </si>
  <si>
    <t xml:space="preserve">2 – Build</t>
  </si>
  <si>
    <t xml:space="preserve">Wave 1 in-house execution build &amp; unit testing</t>
  </si>
  <si>
    <t xml:space="preserve">21 Jul 2025</t>
  </si>
  <si>
    <t xml:space="preserve">20 Aug 2025</t>
  </si>
  <si>
    <t xml:space="preserve">Parallel build with vendor still live</t>
  </si>
  <si>
    <t xml:space="preserve">Wave 1 sandbox UAT &amp; order-book replay</t>
  </si>
  <si>
    <t xml:space="preserve">Engineering / Risk</t>
  </si>
  <si>
    <t xml:space="preserve">10 Aug 2025</t>
  </si>
  <si>
    <t xml:space="preserve">30 Aug 2025</t>
  </si>
  <si>
    <t xml:space="preserve">Highest-volume venues tested first</t>
  </si>
  <si>
    <t xml:space="preserve">3 – Migration</t>
  </si>
  <si>
    <t xml:space="preserve">Wave 1 LIVE cutover (top 10 by priority)</t>
  </si>
  <si>
    <t xml:space="preserve">CTO / Trading Desk</t>
  </si>
  <si>
    <t xml:space="preserve">18 Aug 2025</t>
  </si>
  <si>
    <t xml:space="preserve">30 Nov 2025</t>
  </si>
  <si>
    <t xml:space="preserve">Rolling cutovers; weekend windows; rollback plans ready</t>
  </si>
  <si>
    <t xml:space="preserve">Wave 2 connectivity specs finalised (Priority 11-20)</t>
  </si>
  <si>
    <t xml:space="preserve">Wave 2</t>
  </si>
  <si>
    <t xml:space="preserve">01 Oct 2025</t>
  </si>
  <si>
    <t xml:space="preserve">20 Oct 2025</t>
  </si>
  <si>
    <t xml:space="preserve">LSEG, Eurex, JPX, HKEX, SGX, Bitfinex, Bitstamp, etc.</t>
  </si>
  <si>
    <t xml:space="preserve">Wave 2 build &amp; UAT</t>
  </si>
  <si>
    <t xml:space="preserve">20 Dec 2025</t>
  </si>
  <si>
    <t xml:space="preserve">Includes Asia-hours support coordination</t>
  </si>
  <si>
    <t xml:space="preserve">Wave 2 LIVE cutover</t>
  </si>
  <si>
    <t xml:space="preserve">01 Dec 2025</t>
  </si>
  <si>
    <t xml:space="preserve">28 Feb 2026</t>
  </si>
  <si>
    <t xml:space="preserve">Sequenced regionally to manage desk coverage</t>
  </si>
  <si>
    <t xml:space="preserve">Wave 3 connectivity specs finalised (Priority 21-30)</t>
  </si>
  <si>
    <t xml:space="preserve">Wave 3</t>
  </si>
  <si>
    <t xml:space="preserve">01 Jan 2026</t>
  </si>
  <si>
    <t xml:space="preserve">20 Jan 2026</t>
  </si>
  <si>
    <t xml:space="preserve">Cboe FX, 360T, Bybit, BSE, B3, JSE, MarketAxess</t>
  </si>
  <si>
    <t xml:space="preserve">Wave 3 build &amp; UAT</t>
  </si>
  <si>
    <t xml:space="preserve">20 Mar 2026</t>
  </si>
  <si>
    <t xml:space="preserve">Lower-volume/redundant venues; flexible scheduling</t>
  </si>
  <si>
    <t xml:space="preserve">Wave 3 LIVE cutover</t>
  </si>
  <si>
    <t xml:space="preserve">01 Mar 2026</t>
  </si>
  <si>
    <t xml:space="preserve">30 Apr 2026</t>
  </si>
  <si>
    <t xml:space="preserve">Final wave; smallest allocations migrated last</t>
  </si>
  <si>
    <t xml:space="preserve">LMX legal &amp; CFTC reporting review</t>
  </si>
  <si>
    <t xml:space="preserve">Legal / Compliance</t>
  </si>
  <si>
    <t xml:space="preserve">LMX</t>
  </si>
  <si>
    <t xml:space="preserve">30 Oct 2025</t>
  </si>
  <si>
    <t xml:space="preserve">Legal sign-off required before any system changes</t>
  </si>
  <si>
    <t xml:space="preserve">FPI / Stock Connect compliance reviews (India, HK)</t>
  </si>
  <si>
    <t xml:space="preserve">BSE, HKEX</t>
  </si>
  <si>
    <t xml:space="preserve">31 Jan 2026</t>
  </si>
  <si>
    <t xml:space="preserve">Required before any EM equity venue cutover</t>
  </si>
  <si>
    <t xml:space="preserve">4 – Closure</t>
  </si>
  <si>
    <t xml:space="preserve">Vendor system decommission notice issued</t>
  </si>
  <si>
    <t xml:space="preserve">01 Apr 2026</t>
  </si>
  <si>
    <t xml:space="preserve">30-day notice period per contract</t>
  </si>
  <si>
    <t xml:space="preserve">Full vendor decommission &amp; contract termination</t>
  </si>
  <si>
    <t xml:space="preserve">CFO</t>
  </si>
  <si>
    <t xml:space="preserve">15 Apr 2026</t>
  </si>
  <si>
    <t xml:space="preserve">Target: zero vendor dependency by 01 May 2026</t>
  </si>
  <si>
    <t xml:space="preserve">5 – Review</t>
  </si>
  <si>
    <t xml:space="preserve">Post-migration cost &amp; performance review</t>
  </si>
  <si>
    <t xml:space="preserve">CFO / CTO</t>
  </si>
  <si>
    <t xml:space="preserve">01 May 2026</t>
  </si>
  <si>
    <t xml:space="preserve">31 May 2026</t>
  </si>
  <si>
    <t xml:space="preserve">Report cost savings vs projection to board</t>
  </si>
  <si>
    <t xml:space="preserve">COST SAVINGS ANALYSIS  |  Vendor → In-House Migration  |  30 Exchanges</t>
  </si>
  <si>
    <t xml:space="preserve">Exchange</t>
  </si>
  <si>
    <t xml:space="preserve">Annual Vendor Cost ($K)</t>
  </si>
  <si>
    <t xml:space="preserve">Annual In-House Cost ($K)</t>
  </si>
  <si>
    <t xml:space="preserve">Annual Saving ($K)</t>
  </si>
  <si>
    <t xml:space="preserve">3-Year Saving ($K)</t>
  </si>
  <si>
    <t xml:space="preserve">5-Year Saving ($K)</t>
  </si>
  <si>
    <t xml:space="preserve">TOTAL</t>
  </si>
  <si>
    <t xml:space="preserve">Note: Estimated one-time in-house build cost: $950K (engineering + infra across all 30 venues, phased over 3 waves). Full payback within ~10 months of Wave 1 completion.</t>
  </si>
  <si>
    <t xml:space="preserve">PROGRAMME RISK REGISTER  |  Exchange Migration  |  CONFIDENTIAL</t>
  </si>
  <si>
    <t xml:space="preserve">Risk
ID</t>
  </si>
  <si>
    <t xml:space="preserve">Risk Category</t>
  </si>
  <si>
    <t xml:space="preserve">Risk Description</t>
  </si>
  <si>
    <t xml:space="preserve">Affected
Exchange(s)</t>
  </si>
  <si>
    <t xml:space="preserve">Likelihood
(1-5)</t>
  </si>
  <si>
    <t xml:space="preserve">Impact
(1-5)</t>
  </si>
  <si>
    <t xml:space="preserve">Risk Score
(L×I)</t>
  </si>
  <si>
    <t xml:space="preserve">Risk Level</t>
  </si>
  <si>
    <t xml:space="preserve">Mitigation / Control</t>
  </si>
  <si>
    <t xml:space="preserve">Target Close
Date</t>
  </si>
  <si>
    <t xml:space="preserve">R-01</t>
  </si>
  <si>
    <t xml:space="preserve">Operational</t>
  </si>
  <si>
    <t xml:space="preserve">Trading disruption / missed fills during live cutover window on high-volume venues.</t>
  </si>
  <si>
    <t xml:space="preserve">Polymarket, Binance, CME, NYSE</t>
  </si>
  <si>
    <t xml:space="preserve">Critical</t>
  </si>
  <si>
    <t xml:space="preserve">Weekend/low-volume cutover windows; rollback plan tested in advance; vendor kept on hot-standby for 30 days post-cutover.</t>
  </si>
  <si>
    <t xml:space="preserve">Open</t>
  </si>
  <si>
    <t xml:space="preserve">31 Aug 2025</t>
  </si>
  <si>
    <t xml:space="preserve">R-02</t>
  </si>
  <si>
    <t xml:space="preserve">Compliance</t>
  </si>
  <si>
    <t xml:space="preserve">CFTC reporting obligations lapse during LMX system transition, resulting in regulatory breach.</t>
  </si>
  <si>
    <t xml:space="preserve">High</t>
  </si>
  <si>
    <t xml:space="preserve">Legal review and sign-off required before any system change; dry-run reporting parity test pre-cutover.</t>
  </si>
  <si>
    <t xml:space="preserve">General Counsel</t>
  </si>
  <si>
    <t xml:space="preserve">R-03</t>
  </si>
  <si>
    <t xml:space="preserve">MiFID II / MiCA transaction reporting gap during European venue migration.</t>
  </si>
  <si>
    <t xml:space="preserve">LSEG, Eurex, Bullish</t>
  </si>
  <si>
    <t xml:space="preserve">Compliance engaged from design phase; RTS 27/28 reporting parity validated in UAT before go-live.</t>
  </si>
  <si>
    <t xml:space="preserve">R-04</t>
  </si>
  <si>
    <t xml:space="preserve">FX settlement (CLS) membership disruption during EBS/FXall migration causing failed settlements.</t>
  </si>
  <si>
    <t xml:space="preserve">EBS, FXall, Tradeweb</t>
  </si>
  <si>
    <t xml:space="preserve">Confirm CLS membership transfer with operations team; parallel-run settlement instructions for 2 weeks.</t>
  </si>
  <si>
    <t xml:space="preserve">Treasury Ops</t>
  </si>
  <si>
    <t xml:space="preserve">30 Sep 2025</t>
  </si>
  <si>
    <t xml:space="preserve">R-05</t>
  </si>
  <si>
    <t xml:space="preserve">Financial</t>
  </si>
  <si>
    <t xml:space="preserve">One-time build cost overrun beyond approved $950K budget across 30-venue programme.</t>
  </si>
  <si>
    <t xml:space="preserve">All</t>
  </si>
  <si>
    <t xml:space="preserve">Phased wave-based budget tracking; monthly cost review against plan; contingency buffer of 15% built in.</t>
  </si>
  <si>
    <t xml:space="preserve">Ongoing</t>
  </si>
  <si>
    <t xml:space="preserve">R-06</t>
  </si>
  <si>
    <t xml:space="preserve">Co-location and direct market access (DMA) SLA renegotiation delays for CME/NYSE/Nasdaq.</t>
  </si>
  <si>
    <t xml:space="preserve">CME, NYSE, Nasdaq</t>
  </si>
  <si>
    <t xml:space="preserve">Early engagement with exchange co-location teams; legal review of new SLA terms in parallel with build phase.</t>
  </si>
  <si>
    <t xml:space="preserve">CTO / Legal</t>
  </si>
  <si>
    <t xml:space="preserve">31 Oct 2025</t>
  </si>
  <si>
    <t xml:space="preserve">R-07</t>
  </si>
  <si>
    <t xml:space="preserve">Margin methodology mismatch (SPAN vs in-house) causing incorrect margin calls post-migration.</t>
  </si>
  <si>
    <t xml:space="preserve">CME, Eurex, CBOE</t>
  </si>
  <si>
    <t xml:space="preserve">Shadow-run margin calculations for 4 weeks pre-cutover; reconcile daily against vendor figures before go-live.</t>
  </si>
  <si>
    <t xml:space="preserve">Risk / Engineering</t>
  </si>
  <si>
    <t xml:space="preserve">R-08</t>
  </si>
  <si>
    <t xml:space="preserve">Regulatory</t>
  </si>
  <si>
    <t xml:space="preserve">Stock Connect quota / FPI registration complications during HKEX and BSE migration.</t>
  </si>
  <si>
    <t xml:space="preserve">HKEX, BSE</t>
  </si>
  <si>
    <t xml:space="preserve">Dedicated legal workstream for EM equity venues; confirm quota transfer mechanics with local custodians.</t>
  </si>
  <si>
    <t xml:space="preserve">R-09</t>
  </si>
  <si>
    <t xml:space="preserve">Technology</t>
  </si>
  <si>
    <t xml:space="preserve">API rate-limit or throughput changes imposed by exchanges (esp. Binance) during institutional re-onboarding.</t>
  </si>
  <si>
    <t xml:space="preserve">Binance, Deribit, OKX, Bybit</t>
  </si>
  <si>
    <t xml:space="preserve">Direct engagement with exchange institutional desks; negotiate dedicated rate limits ahead of cutover.</t>
  </si>
  <si>
    <t xml:space="preserve">R-10</t>
  </si>
  <si>
    <t xml:space="preserve">Smart-contract settlement timing differences on Polymarket causing reconciliation breaks.</t>
  </si>
  <si>
    <t xml:space="preserve">Full order-book and settlement replay in sandbox; reconciliation tooling built before go-live.</t>
  </si>
  <si>
    <t xml:space="preserve">15 Aug 2025</t>
  </si>
  <si>
    <t xml:space="preserve">R-11</t>
  </si>
  <si>
    <t xml:space="preserve">People / Resourcing</t>
  </si>
  <si>
    <t xml:space="preserve">Engineering resource overrun or attrition during 3-wave, ~10-month build programme.</t>
  </si>
  <si>
    <t xml:space="preserve">Phased approach allows re-sequencing; cross-training across exchange workstreams; contractor backup identified.</t>
  </si>
  <si>
    <t xml:space="preserve">R-12</t>
  </si>
  <si>
    <t xml:space="preserve">Vendor / Contractual</t>
  </si>
  <si>
    <t xml:space="preserve">Vendor imposes early-termination penalties or disputes notice period during decommission.</t>
  </si>
  <si>
    <t xml:space="preserve">Medium</t>
  </si>
  <si>
    <t xml:space="preserve">Legal review of vendor contract terms completed in Discovery phase; termination notice timed per contract clause.</t>
  </si>
  <si>
    <t xml:space="preserve">Legal</t>
  </si>
  <si>
    <t xml:space="preserve">Closed</t>
  </si>
  <si>
    <t xml:space="preserve">R-13</t>
  </si>
  <si>
    <t xml:space="preserve">Custody segregation or insurance coverage gap during Coinbase/Kraken/Bitstamp crypto custody migration.</t>
  </si>
  <si>
    <t xml:space="preserve">Coinbase, Kraken, Bitstamp</t>
  </si>
  <si>
    <t xml:space="preserve">Confirm custody arrangements remain with existing prime relationship; insurance coverage continuity letter obtained.</t>
  </si>
  <si>
    <t xml:space="preserve">Operations / Legal</t>
  </si>
  <si>
    <t xml:space="preserve">R-14</t>
  </si>
  <si>
    <t xml:space="preserve">Timezone / desk coverage gaps for APAC and EM venues during cutover (JPX, HKEX, SGX, BSE, B3, JSE).</t>
  </si>
  <si>
    <t xml:space="preserve">JPX, HKEX, SGX, BSE, B3, JSE</t>
  </si>
  <si>
    <t xml:space="preserve">Confirm regional desk coverage hours before scheduling; consider follow-the-sun support model during cutover week.</t>
  </si>
  <si>
    <t xml:space="preserve">Trading Desk / Ops</t>
  </si>
  <si>
    <t xml:space="preserve">R-15</t>
  </si>
  <si>
    <t xml:space="preserve">Market data feed licensing renegotiation delays (Nasdaq, LSEG, JPX) blocking in-house gateway certification.</t>
  </si>
  <si>
    <t xml:space="preserve">Nasdaq, LSEG, JPX</t>
  </si>
  <si>
    <t xml:space="preserve">Initiate market data licensing renewal process at start of Design phase, well ahead of cutover date.</t>
  </si>
  <si>
    <t xml:space="preserve">Engineering / Vendor Mgmt</t>
  </si>
  <si>
    <t xml:space="preserve">R-16</t>
  </si>
  <si>
    <t xml:space="preserve">Realised cost savings fall materially short of $1,260K+ projected annual figure post full migration.</t>
  </si>
  <si>
    <t xml:space="preserve">Monthly cost tracking dashboard from Wave 1 go-live; quarterly variance review presented to Investment Committee.</t>
  </si>
  <si>
    <t xml:space="preserve">R-17</t>
  </si>
  <si>
    <t xml:space="preserve">Credit line / prime brokerage relationship disruption during FX and fixed income venue migration.</t>
  </si>
  <si>
    <t xml:space="preserve">EBS, FXall, Tradeweb, MarketAxess</t>
  </si>
  <si>
    <t xml:space="preserve">Confirm credit lines transfer without re-underwriting; maintain dual-running credit facilities during transition.</t>
  </si>
  <si>
    <t xml:space="preserve">Treasury / Credit</t>
  </si>
  <si>
    <t xml:space="preserve">31 Dec 2025</t>
  </si>
  <si>
    <t xml:space="preserve">R-18</t>
  </si>
  <si>
    <t xml:space="preserve">Reputational</t>
  </si>
  <si>
    <t xml:space="preserve">Client or counterparty perception of operational risk during a highly visible infrastructure transition.</t>
  </si>
  <si>
    <t xml:space="preserve">Proactive, controlled internal and external communication plan; no client-facing disruption permitted during cutover.</t>
  </si>
  <si>
    <t xml:space="preserve">CCO / IR</t>
  </si>
  <si>
    <t xml:space="preserve">RISK SCORE KEY</t>
  </si>
  <si>
    <t xml:space="preserve">Critical (15-25)</t>
  </si>
  <si>
    <t xml:space="preserve">Immediate Board/IC visibility required</t>
  </si>
  <si>
    <t xml:space="preserve">High (9-14)</t>
  </si>
  <si>
    <t xml:space="preserve">Active mitigation, weekly tracking</t>
  </si>
  <si>
    <t xml:space="preserve">Medium (4-8)</t>
  </si>
  <si>
    <t xml:space="preserve">Monitor, standard programme cadence</t>
  </si>
  <si>
    <t xml:space="preserve">Low (1-3)</t>
  </si>
  <si>
    <t xml:space="preserve">Accepted risk, periodic review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</si>
</sst>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D1B2A"/>
      <name val="Arial"/>
      <family val="0"/>
      <charset val="1"/>
    </font>
    <font>
      <b val="true"/>
      <sz val="9"/>
      <color rgb="FF8E6E1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B3A5C"/>
      <name val="Arial"/>
      <family val="0"/>
      <charset val="1"/>
    </font>
    <font>
      <b val="true"/>
      <sz val="9"/>
      <color rgb="FF1B3A5C"/>
      <name val="Arial"/>
      <family val="0"/>
      <charset val="1"/>
    </font>
    <font>
      <sz val="9"/>
      <color rgb="FF7B241C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9"/>
      <color rgb="FFC0392B"/>
      <name val="Arial"/>
      <family val="0"/>
      <charset val="1"/>
    </font>
    <font>
      <sz val="9"/>
      <color rgb="FF1E8449"/>
      <name val="Arial"/>
      <family val="0"/>
      <charset val="1"/>
    </font>
    <font>
      <b val="true"/>
      <sz val="9"/>
      <color rgb="FF1E8449"/>
      <name val="Arial"/>
      <family val="0"/>
      <charset val="1"/>
    </font>
    <font>
      <sz val="9"/>
      <color rgb="FF6C3483"/>
      <name val="Arial"/>
      <family val="0"/>
      <charset val="1"/>
    </font>
    <font>
      <b val="true"/>
      <sz val="9"/>
      <color rgb="FF3498D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D4AC0D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3A5C"/>
        <bgColor rgb="FF333333"/>
      </patternFill>
    </fill>
    <fill>
      <patternFill patternType="solid">
        <fgColor rgb="FFFFFFFF"/>
        <bgColor rgb="FFFFF9E6"/>
      </patternFill>
    </fill>
    <fill>
      <patternFill patternType="solid">
        <fgColor rgb="FFF2F2F2"/>
        <bgColor rgb="FFE8F5E9"/>
      </patternFill>
    </fill>
    <fill>
      <patternFill patternType="solid">
        <fgColor rgb="FFFFF9E6"/>
        <bgColor rgb="FFFFF3E0"/>
      </patternFill>
    </fill>
    <fill>
      <patternFill patternType="solid">
        <fgColor rgb="FFFDECEA"/>
        <bgColor rgb="FFFCE4EC"/>
      </patternFill>
    </fill>
    <fill>
      <patternFill patternType="solid">
        <fgColor rgb="FFEAFAF1"/>
        <bgColor rgb="FFE8F5E9"/>
      </patternFill>
    </fill>
    <fill>
      <patternFill patternType="solid">
        <fgColor rgb="FFD6E4F0"/>
        <bgColor rgb="FFE3F2FD"/>
      </patternFill>
    </fill>
    <fill>
      <patternFill patternType="solid">
        <fgColor rgb="FFE8F5E9"/>
        <bgColor rgb="FFEAFAF1"/>
      </patternFill>
    </fill>
    <fill>
      <patternFill patternType="solid">
        <fgColor rgb="FFE3F2FD"/>
        <bgColor rgb="FFE0F7FA"/>
      </patternFill>
    </fill>
    <fill>
      <patternFill patternType="solid">
        <fgColor rgb="FFFFF3E0"/>
        <bgColor rgb="FFFFF9E6"/>
      </patternFill>
    </fill>
    <fill>
      <patternFill patternType="solid">
        <fgColor rgb="FFFCE4EC"/>
        <bgColor rgb="FFF3E5F5"/>
      </patternFill>
    </fill>
    <fill>
      <patternFill patternType="solid">
        <fgColor rgb="FFF3E5F5"/>
        <bgColor rgb="FFFCE4EC"/>
      </patternFill>
    </fill>
    <fill>
      <patternFill patternType="solid">
        <fgColor rgb="FFE0F7FA"/>
        <bgColor rgb="FFE3F2FD"/>
      </patternFill>
    </fill>
    <fill>
      <patternFill patternType="solid">
        <fgColor rgb="FFC0392B"/>
        <bgColor rgb="FF7B241C"/>
      </patternFill>
    </fill>
    <fill>
      <patternFill patternType="solid">
        <fgColor rgb="FFE67E22"/>
        <bgColor rgb="FFFF8080"/>
      </patternFill>
    </fill>
    <fill>
      <patternFill patternType="solid">
        <fgColor rgb="FFD4AC0D"/>
        <bgColor rgb="FFFFCC00"/>
      </patternFill>
    </fill>
    <fill>
      <patternFill patternType="solid">
        <fgColor rgb="FF1E8449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AFAF1"/>
      <rgbColor rgb="FFFF00FF"/>
      <rgbColor rgb="FF00FFFF"/>
      <rgbColor rgb="FF800000"/>
      <rgbColor rgb="FF008000"/>
      <rgbColor rgb="FF000080"/>
      <rgbColor rgb="FF8E6E1F"/>
      <rgbColor rgb="FF800080"/>
      <rgbColor rgb="FF008080"/>
      <rgbColor rgb="FFBFBFBF"/>
      <rgbColor rgb="FF808080"/>
      <rgbColor rgb="FF9999FF"/>
      <rgbColor rgb="FF6C3483"/>
      <rgbColor rgb="FFFFF9E6"/>
      <rgbColor rgb="FFE0F7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F3E5F5"/>
      <rgbColor rgb="FFFDECEA"/>
      <rgbColor rgb="FFF2F2F2"/>
      <rgbColor rgb="FFFCE4EC"/>
      <rgbColor rgb="FF3498DB"/>
      <rgbColor rgb="FF33CCCC"/>
      <rgbColor rgb="FF99CC00"/>
      <rgbColor rgb="FFFFCC00"/>
      <rgbColor rgb="FFD4AC0D"/>
      <rgbColor rgb="FFE67E22"/>
      <rgbColor rgb="FF555555"/>
      <rgbColor rgb="FF969696"/>
      <rgbColor rgb="FF1B3A5C"/>
      <rgbColor rgb="FF1E8449"/>
      <rgbColor rgb="FF0D1B2A"/>
      <rgbColor rgb="FF333300"/>
      <rgbColor rgb="FF7B241C"/>
      <rgbColor rgb="FFC0392B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30"/>
    <col collapsed="false" customWidth="true" hidden="false" outlineLevel="0" max="12" min="12" style="0" width="9"/>
    <col collapsed="false" customWidth="true" hidden="false" outlineLevel="0" max="13" min="13" style="0" width="28"/>
    <col collapsed="false" customWidth="true" hidden="false" outlineLevel="0" max="15" min="14" style="0" width="13"/>
    <col collapsed="false" customWidth="true" hidden="false" outlineLevel="0" max="17" min="16" style="0" width="12"/>
    <col collapsed="false" customWidth="true" hidden="false" outlineLevel="0" max="18" min="18" style="0" width="13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4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</row>
    <row r="4" customFormat="false" ht="67.5" hidden="false" customHeight="true" outlineLevel="0" collapsed="false">
      <c r="A4" s="4" t="n">
        <v>1</v>
      </c>
      <c r="B4" s="5" t="s">
        <v>21</v>
      </c>
      <c r="C4" s="6" t="n">
        <v>1</v>
      </c>
      <c r="D4" s="7" t="s">
        <v>22</v>
      </c>
      <c r="E4" s="7" t="s">
        <v>23</v>
      </c>
      <c r="F4" s="8" t="n">
        <v>420000</v>
      </c>
      <c r="G4" s="8" t="n">
        <v>890</v>
      </c>
      <c r="H4" s="9" t="n">
        <v>3100</v>
      </c>
      <c r="I4" s="7" t="s">
        <v>24</v>
      </c>
      <c r="J4" s="7" t="s">
        <v>25</v>
      </c>
      <c r="K4" s="10" t="s">
        <v>26</v>
      </c>
      <c r="L4" s="11" t="s">
        <v>27</v>
      </c>
      <c r="M4" s="7" t="s">
        <v>28</v>
      </c>
      <c r="N4" s="12" t="n">
        <v>710</v>
      </c>
      <c r="O4" s="13" t="n">
        <v>140</v>
      </c>
      <c r="P4" s="14" t="n">
        <f aca="false">N4-O4</f>
        <v>570</v>
      </c>
      <c r="Q4" s="15" t="s">
        <v>29</v>
      </c>
      <c r="R4" s="16" t="s">
        <v>30</v>
      </c>
      <c r="S4" s="17" t="s">
        <v>31</v>
      </c>
    </row>
    <row r="5" customFormat="false" ht="67.5" hidden="false" customHeight="true" outlineLevel="0" collapsed="false">
      <c r="A5" s="4" t="n">
        <v>2</v>
      </c>
      <c r="B5" s="4" t="s">
        <v>32</v>
      </c>
      <c r="C5" s="6" t="n">
        <v>2</v>
      </c>
      <c r="D5" s="18" t="s">
        <v>33</v>
      </c>
      <c r="E5" s="18" t="s">
        <v>34</v>
      </c>
      <c r="F5" s="19" t="n">
        <v>312000</v>
      </c>
      <c r="G5" s="19" t="n">
        <v>640</v>
      </c>
      <c r="H5" s="20" t="n">
        <v>1900</v>
      </c>
      <c r="I5" s="18" t="s">
        <v>35</v>
      </c>
      <c r="J5" s="18" t="s">
        <v>36</v>
      </c>
      <c r="K5" s="21" t="s">
        <v>37</v>
      </c>
      <c r="L5" s="11" t="s">
        <v>27</v>
      </c>
      <c r="M5" s="18" t="s">
        <v>38</v>
      </c>
      <c r="N5" s="22" t="n">
        <v>540</v>
      </c>
      <c r="O5" s="23" t="n">
        <v>105</v>
      </c>
      <c r="P5" s="24" t="n">
        <f aca="false">N5-O5</f>
        <v>435</v>
      </c>
      <c r="Q5" s="15" t="s">
        <v>29</v>
      </c>
      <c r="R5" s="25" t="s">
        <v>30</v>
      </c>
      <c r="S5" s="26" t="s">
        <v>39</v>
      </c>
    </row>
    <row r="6" customFormat="false" ht="67.5" hidden="false" customHeight="true" outlineLevel="0" collapsed="false">
      <c r="A6" s="4" t="n">
        <v>3</v>
      </c>
      <c r="B6" s="5" t="s">
        <v>40</v>
      </c>
      <c r="C6" s="6" t="n">
        <v>3</v>
      </c>
      <c r="D6" s="7" t="s">
        <v>41</v>
      </c>
      <c r="E6" s="7" t="s">
        <v>42</v>
      </c>
      <c r="F6" s="8" t="n">
        <v>85000</v>
      </c>
      <c r="G6" s="8" t="n">
        <v>520</v>
      </c>
      <c r="H6" s="9" t="n">
        <v>2400</v>
      </c>
      <c r="I6" s="7" t="s">
        <v>43</v>
      </c>
      <c r="J6" s="7" t="s">
        <v>44</v>
      </c>
      <c r="K6" s="10" t="s">
        <v>45</v>
      </c>
      <c r="L6" s="11" t="s">
        <v>27</v>
      </c>
      <c r="M6" s="7" t="s">
        <v>46</v>
      </c>
      <c r="N6" s="12" t="n">
        <v>620</v>
      </c>
      <c r="O6" s="13" t="n">
        <v>110</v>
      </c>
      <c r="P6" s="14" t="n">
        <f aca="false">N6-O6</f>
        <v>510</v>
      </c>
      <c r="Q6" s="15" t="s">
        <v>47</v>
      </c>
      <c r="R6" s="27" t="s">
        <v>48</v>
      </c>
      <c r="S6" s="17" t="s">
        <v>49</v>
      </c>
    </row>
    <row r="7" customFormat="false" ht="67.5" hidden="false" customHeight="true" outlineLevel="0" collapsed="false">
      <c r="A7" s="4" t="n">
        <v>4</v>
      </c>
      <c r="B7" s="4" t="s">
        <v>50</v>
      </c>
      <c r="C7" s="6" t="n">
        <v>4</v>
      </c>
      <c r="D7" s="18" t="s">
        <v>51</v>
      </c>
      <c r="E7" s="18" t="s">
        <v>52</v>
      </c>
      <c r="F7" s="19" t="n">
        <v>265000</v>
      </c>
      <c r="G7" s="19" t="n">
        <v>510</v>
      </c>
      <c r="H7" s="20" t="n">
        <v>1650</v>
      </c>
      <c r="I7" s="18" t="s">
        <v>53</v>
      </c>
      <c r="J7" s="18" t="s">
        <v>54</v>
      </c>
      <c r="K7" s="21" t="s">
        <v>55</v>
      </c>
      <c r="L7" s="11" t="s">
        <v>27</v>
      </c>
      <c r="M7" s="18" t="s">
        <v>56</v>
      </c>
      <c r="N7" s="22" t="n">
        <v>470</v>
      </c>
      <c r="O7" s="23" t="n">
        <v>95</v>
      </c>
      <c r="P7" s="24" t="n">
        <f aca="false">N7-O7</f>
        <v>375</v>
      </c>
      <c r="Q7" s="15" t="s">
        <v>57</v>
      </c>
      <c r="R7" s="25" t="s">
        <v>30</v>
      </c>
      <c r="S7" s="26" t="s">
        <v>58</v>
      </c>
    </row>
    <row r="8" customFormat="false" ht="67.5" hidden="false" customHeight="true" outlineLevel="0" collapsed="false">
      <c r="A8" s="4" t="n">
        <v>5</v>
      </c>
      <c r="B8" s="5" t="s">
        <v>59</v>
      </c>
      <c r="C8" s="6" t="n">
        <v>5</v>
      </c>
      <c r="D8" s="7" t="s">
        <v>60</v>
      </c>
      <c r="E8" s="7" t="s">
        <v>61</v>
      </c>
      <c r="F8" s="8" t="n">
        <v>640000</v>
      </c>
      <c r="G8" s="8" t="n">
        <v>410</v>
      </c>
      <c r="H8" s="9" t="n">
        <v>2200</v>
      </c>
      <c r="I8" s="7" t="s">
        <v>62</v>
      </c>
      <c r="J8" s="7" t="s">
        <v>63</v>
      </c>
      <c r="K8" s="10" t="s">
        <v>64</v>
      </c>
      <c r="L8" s="11" t="s">
        <v>27</v>
      </c>
      <c r="M8" s="7" t="s">
        <v>65</v>
      </c>
      <c r="N8" s="12" t="n">
        <v>390</v>
      </c>
      <c r="O8" s="13" t="n">
        <v>85</v>
      </c>
      <c r="P8" s="14" t="n">
        <f aca="false">N8-O8</f>
        <v>305</v>
      </c>
      <c r="Q8" s="15" t="s">
        <v>47</v>
      </c>
      <c r="R8" s="16" t="s">
        <v>30</v>
      </c>
      <c r="S8" s="17" t="s">
        <v>66</v>
      </c>
    </row>
    <row r="9" customFormat="false" ht="67.5" hidden="false" customHeight="true" outlineLevel="0" collapsed="false">
      <c r="A9" s="4" t="n">
        <v>6</v>
      </c>
      <c r="B9" s="4" t="s">
        <v>67</v>
      </c>
      <c r="C9" s="6" t="n">
        <v>6</v>
      </c>
      <c r="D9" s="18" t="s">
        <v>68</v>
      </c>
      <c r="E9" s="18" t="s">
        <v>69</v>
      </c>
      <c r="F9" s="19" t="n">
        <v>4200</v>
      </c>
      <c r="G9" s="19" t="n">
        <v>310</v>
      </c>
      <c r="H9" s="20" t="n">
        <v>1850</v>
      </c>
      <c r="I9" s="18" t="s">
        <v>70</v>
      </c>
      <c r="J9" s="18" t="s">
        <v>71</v>
      </c>
      <c r="K9" s="21" t="s">
        <v>72</v>
      </c>
      <c r="L9" s="11" t="s">
        <v>27</v>
      </c>
      <c r="M9" s="18" t="s">
        <v>73</v>
      </c>
      <c r="N9" s="22" t="n">
        <v>480</v>
      </c>
      <c r="O9" s="23" t="n">
        <v>95</v>
      </c>
      <c r="P9" s="24" t="n">
        <f aca="false">N9-O9</f>
        <v>385</v>
      </c>
      <c r="Q9" s="15" t="s">
        <v>74</v>
      </c>
      <c r="R9" s="28" t="s">
        <v>48</v>
      </c>
      <c r="S9" s="26" t="s">
        <v>75</v>
      </c>
    </row>
    <row r="10" customFormat="false" ht="67.5" hidden="false" customHeight="true" outlineLevel="0" collapsed="false">
      <c r="A10" s="4" t="n">
        <v>7</v>
      </c>
      <c r="B10" s="5" t="s">
        <v>76</v>
      </c>
      <c r="C10" s="6" t="n">
        <v>7</v>
      </c>
      <c r="D10" s="7" t="s">
        <v>77</v>
      </c>
      <c r="E10" s="7" t="s">
        <v>78</v>
      </c>
      <c r="F10" s="8" t="n">
        <v>18500</v>
      </c>
      <c r="G10" s="8" t="n">
        <v>310</v>
      </c>
      <c r="H10" s="9" t="n">
        <v>1400</v>
      </c>
      <c r="I10" s="7" t="s">
        <v>79</v>
      </c>
      <c r="J10" s="7" t="s">
        <v>80</v>
      </c>
      <c r="K10" s="10" t="s">
        <v>81</v>
      </c>
      <c r="L10" s="11" t="s">
        <v>27</v>
      </c>
      <c r="M10" s="7" t="s">
        <v>82</v>
      </c>
      <c r="N10" s="12" t="n">
        <v>310</v>
      </c>
      <c r="O10" s="13" t="n">
        <v>65</v>
      </c>
      <c r="P10" s="14" t="n">
        <f aca="false">N10-O10</f>
        <v>245</v>
      </c>
      <c r="Q10" s="15" t="s">
        <v>47</v>
      </c>
      <c r="R10" s="27" t="s">
        <v>48</v>
      </c>
      <c r="S10" s="17" t="s">
        <v>83</v>
      </c>
    </row>
    <row r="11" customFormat="false" ht="67.5" hidden="false" customHeight="true" outlineLevel="0" collapsed="false">
      <c r="A11" s="4" t="n">
        <v>8</v>
      </c>
      <c r="B11" s="4" t="s">
        <v>84</v>
      </c>
      <c r="C11" s="6" t="n">
        <v>8</v>
      </c>
      <c r="D11" s="18" t="s">
        <v>85</v>
      </c>
      <c r="E11" s="18" t="s">
        <v>86</v>
      </c>
      <c r="F11" s="19" t="n">
        <v>145000</v>
      </c>
      <c r="G11" s="19" t="n">
        <v>310</v>
      </c>
      <c r="H11" s="20" t="n">
        <v>890</v>
      </c>
      <c r="I11" s="18" t="s">
        <v>87</v>
      </c>
      <c r="J11" s="18" t="s">
        <v>88</v>
      </c>
      <c r="K11" s="21" t="s">
        <v>89</v>
      </c>
      <c r="L11" s="11" t="s">
        <v>27</v>
      </c>
      <c r="M11" s="18" t="s">
        <v>90</v>
      </c>
      <c r="N11" s="22" t="n">
        <v>280</v>
      </c>
      <c r="O11" s="23" t="n">
        <v>60</v>
      </c>
      <c r="P11" s="24" t="n">
        <f aca="false">N11-O11</f>
        <v>220</v>
      </c>
      <c r="Q11" s="15" t="s">
        <v>91</v>
      </c>
      <c r="R11" s="29" t="s">
        <v>92</v>
      </c>
      <c r="S11" s="26" t="s">
        <v>93</v>
      </c>
    </row>
    <row r="12" customFormat="false" ht="67.5" hidden="false" customHeight="true" outlineLevel="0" collapsed="false">
      <c r="A12" s="4" t="n">
        <v>9</v>
      </c>
      <c r="B12" s="5" t="s">
        <v>94</v>
      </c>
      <c r="C12" s="6" t="n">
        <v>9</v>
      </c>
      <c r="D12" s="7" t="s">
        <v>95</v>
      </c>
      <c r="E12" s="7" t="s">
        <v>96</v>
      </c>
      <c r="F12" s="8" t="n">
        <v>98000</v>
      </c>
      <c r="G12" s="8" t="n">
        <v>290</v>
      </c>
      <c r="H12" s="9" t="n">
        <v>980</v>
      </c>
      <c r="I12" s="7" t="s">
        <v>97</v>
      </c>
      <c r="J12" s="7" t="s">
        <v>98</v>
      </c>
      <c r="K12" s="10" t="s">
        <v>99</v>
      </c>
      <c r="L12" s="11" t="s">
        <v>27</v>
      </c>
      <c r="M12" s="7" t="s">
        <v>100</v>
      </c>
      <c r="N12" s="12" t="n">
        <v>350</v>
      </c>
      <c r="O12" s="13" t="n">
        <v>75</v>
      </c>
      <c r="P12" s="14" t="n">
        <f aca="false">N12-O12</f>
        <v>275</v>
      </c>
      <c r="Q12" s="15" t="s">
        <v>57</v>
      </c>
      <c r="R12" s="16" t="s">
        <v>30</v>
      </c>
      <c r="S12" s="17" t="s">
        <v>101</v>
      </c>
    </row>
    <row r="13" customFormat="false" ht="67.5" hidden="false" customHeight="true" outlineLevel="0" collapsed="false">
      <c r="A13" s="4" t="n">
        <v>10</v>
      </c>
      <c r="B13" s="4" t="s">
        <v>102</v>
      </c>
      <c r="C13" s="6" t="n">
        <v>10</v>
      </c>
      <c r="D13" s="18" t="s">
        <v>103</v>
      </c>
      <c r="E13" s="18" t="s">
        <v>104</v>
      </c>
      <c r="F13" s="19" t="n">
        <v>24000</v>
      </c>
      <c r="G13" s="19" t="n">
        <v>260</v>
      </c>
      <c r="H13" s="20" t="n">
        <v>1100</v>
      </c>
      <c r="I13" s="18" t="s">
        <v>105</v>
      </c>
      <c r="J13" s="18" t="s">
        <v>106</v>
      </c>
      <c r="K13" s="21" t="s">
        <v>107</v>
      </c>
      <c r="L13" s="11" t="s">
        <v>27</v>
      </c>
      <c r="M13" s="18" t="s">
        <v>108</v>
      </c>
      <c r="N13" s="22" t="n">
        <v>340</v>
      </c>
      <c r="O13" s="23" t="n">
        <v>70</v>
      </c>
      <c r="P13" s="24" t="n">
        <f aca="false">N13-O13</f>
        <v>270</v>
      </c>
      <c r="Q13" s="15" t="s">
        <v>57</v>
      </c>
      <c r="R13" s="25" t="s">
        <v>30</v>
      </c>
      <c r="S13" s="26" t="s">
        <v>109</v>
      </c>
    </row>
    <row r="14" customFormat="false" ht="67.5" hidden="false" customHeight="true" outlineLevel="0" collapsed="false">
      <c r="A14" s="4" t="n">
        <v>11</v>
      </c>
      <c r="B14" s="5" t="s">
        <v>110</v>
      </c>
      <c r="C14" s="6" t="n">
        <v>11</v>
      </c>
      <c r="D14" s="7" t="s">
        <v>111</v>
      </c>
      <c r="E14" s="7" t="s">
        <v>112</v>
      </c>
      <c r="F14" s="8" t="n">
        <v>210000</v>
      </c>
      <c r="G14" s="8" t="n">
        <v>260</v>
      </c>
      <c r="H14" s="9" t="n">
        <v>780</v>
      </c>
      <c r="I14" s="7" t="s">
        <v>113</v>
      </c>
      <c r="J14" s="7" t="s">
        <v>114</v>
      </c>
      <c r="K14" s="10" t="s">
        <v>115</v>
      </c>
      <c r="L14" s="11" t="s">
        <v>27</v>
      </c>
      <c r="M14" s="7" t="s">
        <v>116</v>
      </c>
      <c r="N14" s="12" t="n">
        <v>330</v>
      </c>
      <c r="O14" s="13" t="n">
        <v>72</v>
      </c>
      <c r="P14" s="14" t="n">
        <f aca="false">N14-O14</f>
        <v>258</v>
      </c>
      <c r="Q14" s="15" t="s">
        <v>57</v>
      </c>
      <c r="R14" s="16" t="s">
        <v>30</v>
      </c>
      <c r="S14" s="17" t="s">
        <v>117</v>
      </c>
    </row>
    <row r="15" customFormat="false" ht="67.5" hidden="false" customHeight="true" outlineLevel="0" collapsed="false">
      <c r="A15" s="4" t="n">
        <v>12</v>
      </c>
      <c r="B15" s="4" t="s">
        <v>118</v>
      </c>
      <c r="C15" s="6" t="n">
        <v>12</v>
      </c>
      <c r="D15" s="18" t="s">
        <v>119</v>
      </c>
      <c r="E15" s="18" t="s">
        <v>120</v>
      </c>
      <c r="F15" s="19" t="n">
        <v>6800</v>
      </c>
      <c r="G15" s="19" t="n">
        <v>180</v>
      </c>
      <c r="H15" s="20" t="n">
        <v>720</v>
      </c>
      <c r="I15" s="18" t="s">
        <v>121</v>
      </c>
      <c r="J15" s="18" t="s">
        <v>122</v>
      </c>
      <c r="K15" s="21" t="s">
        <v>123</v>
      </c>
      <c r="L15" s="11" t="s">
        <v>27</v>
      </c>
      <c r="M15" s="18" t="s">
        <v>124</v>
      </c>
      <c r="N15" s="22" t="n">
        <v>290</v>
      </c>
      <c r="O15" s="23" t="n">
        <v>60</v>
      </c>
      <c r="P15" s="24" t="n">
        <f aca="false">N15-O15</f>
        <v>230</v>
      </c>
      <c r="Q15" s="15" t="s">
        <v>29</v>
      </c>
      <c r="R15" s="25" t="s">
        <v>30</v>
      </c>
      <c r="S15" s="26" t="s">
        <v>125</v>
      </c>
    </row>
    <row r="16" customFormat="false" ht="67.5" hidden="false" customHeight="true" outlineLevel="0" collapsed="false">
      <c r="A16" s="4" t="n">
        <v>13</v>
      </c>
      <c r="B16" s="5" t="s">
        <v>126</v>
      </c>
      <c r="C16" s="6" t="n">
        <v>13</v>
      </c>
      <c r="D16" s="7" t="s">
        <v>127</v>
      </c>
      <c r="E16" s="7" t="s">
        <v>128</v>
      </c>
      <c r="F16" s="8" t="n">
        <v>58000</v>
      </c>
      <c r="G16" s="8" t="n">
        <v>160</v>
      </c>
      <c r="H16" s="9" t="n">
        <v>520</v>
      </c>
      <c r="I16" s="7" t="s">
        <v>35</v>
      </c>
      <c r="J16" s="7" t="s">
        <v>129</v>
      </c>
      <c r="K16" s="10" t="s">
        <v>130</v>
      </c>
      <c r="L16" s="11" t="s">
        <v>27</v>
      </c>
      <c r="M16" s="7" t="s">
        <v>131</v>
      </c>
      <c r="N16" s="12" t="n">
        <v>240</v>
      </c>
      <c r="O16" s="13" t="n">
        <v>55</v>
      </c>
      <c r="P16" s="14" t="n">
        <f aca="false">N16-O16</f>
        <v>185</v>
      </c>
      <c r="Q16" s="15" t="s">
        <v>57</v>
      </c>
      <c r="R16" s="16" t="s">
        <v>30</v>
      </c>
      <c r="S16" s="17" t="s">
        <v>132</v>
      </c>
    </row>
    <row r="17" customFormat="false" ht="67.5" hidden="false" customHeight="true" outlineLevel="0" collapsed="false">
      <c r="A17" s="4" t="n">
        <v>14</v>
      </c>
      <c r="B17" s="4" t="s">
        <v>133</v>
      </c>
      <c r="C17" s="6" t="n">
        <v>14</v>
      </c>
      <c r="D17" s="18" t="s">
        <v>134</v>
      </c>
      <c r="E17" s="18" t="s">
        <v>135</v>
      </c>
      <c r="F17" s="19" t="n">
        <v>68000</v>
      </c>
      <c r="G17" s="19" t="n">
        <v>140</v>
      </c>
      <c r="H17" s="20" t="n">
        <v>460</v>
      </c>
      <c r="I17" s="18" t="s">
        <v>136</v>
      </c>
      <c r="J17" s="18" t="s">
        <v>137</v>
      </c>
      <c r="K17" s="21" t="s">
        <v>138</v>
      </c>
      <c r="L17" s="11" t="s">
        <v>27</v>
      </c>
      <c r="M17" s="18" t="s">
        <v>139</v>
      </c>
      <c r="N17" s="22" t="n">
        <v>215</v>
      </c>
      <c r="O17" s="23" t="n">
        <v>48</v>
      </c>
      <c r="P17" s="24" t="n">
        <f aca="false">N17-O17</f>
        <v>167</v>
      </c>
      <c r="Q17" s="15" t="s">
        <v>91</v>
      </c>
      <c r="R17" s="25" t="s">
        <v>30</v>
      </c>
      <c r="S17" s="26" t="s">
        <v>140</v>
      </c>
    </row>
    <row r="18" customFormat="false" ht="67.5" hidden="false" customHeight="true" outlineLevel="0" collapsed="false">
      <c r="A18" s="4" t="n">
        <v>15</v>
      </c>
      <c r="B18" s="5" t="s">
        <v>141</v>
      </c>
      <c r="C18" s="6" t="n">
        <v>15</v>
      </c>
      <c r="D18" s="7" t="s">
        <v>142</v>
      </c>
      <c r="E18" s="7" t="s">
        <v>143</v>
      </c>
      <c r="F18" s="8" t="n">
        <v>61000</v>
      </c>
      <c r="G18" s="8" t="n">
        <v>110</v>
      </c>
      <c r="H18" s="9" t="n">
        <v>360</v>
      </c>
      <c r="I18" s="7" t="s">
        <v>144</v>
      </c>
      <c r="J18" s="7" t="s">
        <v>145</v>
      </c>
      <c r="K18" s="10" t="s">
        <v>146</v>
      </c>
      <c r="L18" s="11" t="s">
        <v>27</v>
      </c>
      <c r="M18" s="7" t="s">
        <v>147</v>
      </c>
      <c r="N18" s="12" t="n">
        <v>225</v>
      </c>
      <c r="O18" s="13" t="n">
        <v>50</v>
      </c>
      <c r="P18" s="14" t="n">
        <f aca="false">N18-O18</f>
        <v>175</v>
      </c>
      <c r="Q18" s="15" t="s">
        <v>148</v>
      </c>
      <c r="R18" s="30" t="s">
        <v>92</v>
      </c>
      <c r="S18" s="17" t="s">
        <v>149</v>
      </c>
    </row>
    <row r="19" customFormat="false" ht="67.5" hidden="false" customHeight="true" outlineLevel="0" collapsed="false">
      <c r="A19" s="4" t="n">
        <v>16</v>
      </c>
      <c r="B19" s="4" t="s">
        <v>150</v>
      </c>
      <c r="C19" s="6" t="n">
        <v>16</v>
      </c>
      <c r="D19" s="18" t="s">
        <v>151</v>
      </c>
      <c r="E19" s="18" t="s">
        <v>152</v>
      </c>
      <c r="F19" s="19" t="n">
        <v>28000</v>
      </c>
      <c r="G19" s="19" t="n">
        <v>50</v>
      </c>
      <c r="H19" s="20" t="n">
        <v>180</v>
      </c>
      <c r="I19" s="18" t="s">
        <v>153</v>
      </c>
      <c r="J19" s="18" t="s">
        <v>154</v>
      </c>
      <c r="K19" s="21" t="s">
        <v>155</v>
      </c>
      <c r="L19" s="11" t="s">
        <v>27</v>
      </c>
      <c r="M19" s="18" t="s">
        <v>156</v>
      </c>
      <c r="N19" s="22" t="n">
        <v>170</v>
      </c>
      <c r="O19" s="23" t="n">
        <v>40</v>
      </c>
      <c r="P19" s="24" t="n">
        <f aca="false">N19-O19</f>
        <v>130</v>
      </c>
      <c r="Q19" s="15" t="s">
        <v>157</v>
      </c>
      <c r="R19" s="29" t="s">
        <v>92</v>
      </c>
      <c r="S19" s="26" t="s">
        <v>158</v>
      </c>
    </row>
    <row r="20" customFormat="false" ht="67.5" hidden="false" customHeight="true" outlineLevel="0" collapsed="false">
      <c r="A20" s="4" t="n">
        <v>17</v>
      </c>
      <c r="B20" s="5" t="s">
        <v>159</v>
      </c>
      <c r="C20" s="6" t="n">
        <v>17</v>
      </c>
      <c r="D20" s="7" t="s">
        <v>160</v>
      </c>
      <c r="E20" s="7" t="s">
        <v>161</v>
      </c>
      <c r="F20" s="8" t="n">
        <v>950</v>
      </c>
      <c r="G20" s="8" t="n">
        <v>45</v>
      </c>
      <c r="H20" s="9" t="n">
        <v>210</v>
      </c>
      <c r="I20" s="7" t="s">
        <v>162</v>
      </c>
      <c r="J20" s="7" t="s">
        <v>163</v>
      </c>
      <c r="K20" s="10" t="s">
        <v>164</v>
      </c>
      <c r="L20" s="11" t="s">
        <v>27</v>
      </c>
      <c r="M20" s="7" t="s">
        <v>165</v>
      </c>
      <c r="N20" s="12" t="n">
        <v>175</v>
      </c>
      <c r="O20" s="13" t="n">
        <v>40</v>
      </c>
      <c r="P20" s="14" t="n">
        <f aca="false">N20-O20</f>
        <v>135</v>
      </c>
      <c r="Q20" s="15" t="s">
        <v>91</v>
      </c>
      <c r="R20" s="16" t="s">
        <v>30</v>
      </c>
      <c r="S20" s="17" t="s">
        <v>166</v>
      </c>
    </row>
    <row r="21" customFormat="false" ht="67.5" hidden="false" customHeight="true" outlineLevel="0" collapsed="false">
      <c r="A21" s="4" t="n">
        <v>18</v>
      </c>
      <c r="B21" s="4" t="s">
        <v>167</v>
      </c>
      <c r="C21" s="6" t="n">
        <v>18</v>
      </c>
      <c r="D21" s="18" t="s">
        <v>168</v>
      </c>
      <c r="E21" s="18" t="s">
        <v>169</v>
      </c>
      <c r="F21" s="19" t="n">
        <v>156000</v>
      </c>
      <c r="G21" s="19" t="n">
        <v>220</v>
      </c>
      <c r="H21" s="20" t="n">
        <v>710</v>
      </c>
      <c r="I21" s="18" t="s">
        <v>170</v>
      </c>
      <c r="J21" s="18" t="s">
        <v>171</v>
      </c>
      <c r="K21" s="21" t="s">
        <v>172</v>
      </c>
      <c r="L21" s="31" t="s">
        <v>173</v>
      </c>
      <c r="M21" s="18" t="s">
        <v>174</v>
      </c>
      <c r="N21" s="22" t="n">
        <v>260</v>
      </c>
      <c r="O21" s="23" t="n">
        <v>55</v>
      </c>
      <c r="P21" s="24" t="n">
        <f aca="false">N21-O21</f>
        <v>205</v>
      </c>
      <c r="Q21" s="15" t="s">
        <v>175</v>
      </c>
      <c r="R21" s="29" t="s">
        <v>92</v>
      </c>
      <c r="S21" s="26" t="s">
        <v>176</v>
      </c>
    </row>
    <row r="22" customFormat="false" ht="67.5" hidden="false" customHeight="true" outlineLevel="0" collapsed="false">
      <c r="A22" s="4" t="n">
        <v>19</v>
      </c>
      <c r="B22" s="5" t="s">
        <v>177</v>
      </c>
      <c r="C22" s="6" t="n">
        <v>19</v>
      </c>
      <c r="D22" s="7" t="s">
        <v>178</v>
      </c>
      <c r="E22" s="7" t="s">
        <v>179</v>
      </c>
      <c r="F22" s="8" t="n">
        <v>42000</v>
      </c>
      <c r="G22" s="8" t="n">
        <v>180</v>
      </c>
      <c r="H22" s="9" t="n">
        <v>820</v>
      </c>
      <c r="I22" s="7" t="s">
        <v>180</v>
      </c>
      <c r="J22" s="7" t="s">
        <v>181</v>
      </c>
      <c r="K22" s="10" t="s">
        <v>182</v>
      </c>
      <c r="L22" s="31" t="s">
        <v>173</v>
      </c>
      <c r="M22" s="7" t="s">
        <v>183</v>
      </c>
      <c r="N22" s="12" t="n">
        <v>220</v>
      </c>
      <c r="O22" s="13" t="n">
        <v>50</v>
      </c>
      <c r="P22" s="14" t="n">
        <f aca="false">N22-O22</f>
        <v>170</v>
      </c>
      <c r="Q22" s="15" t="s">
        <v>175</v>
      </c>
      <c r="R22" s="30" t="s">
        <v>92</v>
      </c>
      <c r="S22" s="17" t="s">
        <v>184</v>
      </c>
    </row>
    <row r="23" customFormat="false" ht="67.5" hidden="false" customHeight="true" outlineLevel="0" collapsed="false">
      <c r="A23" s="4" t="n">
        <v>20</v>
      </c>
      <c r="B23" s="4" t="s">
        <v>185</v>
      </c>
      <c r="C23" s="6" t="n">
        <v>20</v>
      </c>
      <c r="D23" s="18" t="s">
        <v>186</v>
      </c>
      <c r="E23" s="18" t="s">
        <v>187</v>
      </c>
      <c r="F23" s="19" t="n">
        <v>180000</v>
      </c>
      <c r="G23" s="19" t="n">
        <v>140</v>
      </c>
      <c r="H23" s="20" t="n">
        <v>640</v>
      </c>
      <c r="I23" s="18" t="s">
        <v>188</v>
      </c>
      <c r="J23" s="18" t="s">
        <v>189</v>
      </c>
      <c r="K23" s="21" t="s">
        <v>190</v>
      </c>
      <c r="L23" s="31" t="s">
        <v>173</v>
      </c>
      <c r="M23" s="18" t="s">
        <v>191</v>
      </c>
      <c r="N23" s="22" t="n">
        <v>165</v>
      </c>
      <c r="O23" s="23" t="n">
        <v>40</v>
      </c>
      <c r="P23" s="24" t="n">
        <f aca="false">N23-O23</f>
        <v>125</v>
      </c>
      <c r="Q23" s="15" t="s">
        <v>91</v>
      </c>
      <c r="R23" s="29" t="s">
        <v>92</v>
      </c>
      <c r="S23" s="26" t="s">
        <v>192</v>
      </c>
    </row>
    <row r="24" customFormat="false" ht="67.5" hidden="false" customHeight="true" outlineLevel="0" collapsed="false">
      <c r="A24" s="4" t="n">
        <v>21</v>
      </c>
      <c r="B24" s="5" t="s">
        <v>193</v>
      </c>
      <c r="C24" s="6" t="n">
        <v>21</v>
      </c>
      <c r="D24" s="7" t="s">
        <v>194</v>
      </c>
      <c r="E24" s="7" t="s">
        <v>195</v>
      </c>
      <c r="F24" s="8" t="n">
        <v>72000</v>
      </c>
      <c r="G24" s="8" t="n">
        <v>130</v>
      </c>
      <c r="H24" s="9" t="n">
        <v>410</v>
      </c>
      <c r="I24" s="7" t="s">
        <v>196</v>
      </c>
      <c r="J24" s="7" t="s">
        <v>197</v>
      </c>
      <c r="K24" s="10" t="s">
        <v>198</v>
      </c>
      <c r="L24" s="31" t="s">
        <v>173</v>
      </c>
      <c r="M24" s="7" t="s">
        <v>199</v>
      </c>
      <c r="N24" s="12" t="n">
        <v>195</v>
      </c>
      <c r="O24" s="13" t="n">
        <v>45</v>
      </c>
      <c r="P24" s="14" t="n">
        <f aca="false">N24-O24</f>
        <v>150</v>
      </c>
      <c r="Q24" s="15" t="s">
        <v>148</v>
      </c>
      <c r="R24" s="30" t="s">
        <v>92</v>
      </c>
      <c r="S24" s="17" t="s">
        <v>200</v>
      </c>
    </row>
    <row r="25" customFormat="false" ht="67.5" hidden="false" customHeight="true" outlineLevel="0" collapsed="false">
      <c r="A25" s="4" t="n">
        <v>22</v>
      </c>
      <c r="B25" s="4" t="s">
        <v>201</v>
      </c>
      <c r="C25" s="6" t="n">
        <v>22</v>
      </c>
      <c r="D25" s="18" t="s">
        <v>202</v>
      </c>
      <c r="E25" s="18" t="s">
        <v>203</v>
      </c>
      <c r="F25" s="19" t="n">
        <v>9200</v>
      </c>
      <c r="G25" s="19" t="n">
        <v>95</v>
      </c>
      <c r="H25" s="20" t="n">
        <v>480</v>
      </c>
      <c r="I25" s="18" t="s">
        <v>204</v>
      </c>
      <c r="J25" s="18" t="s">
        <v>205</v>
      </c>
      <c r="K25" s="21" t="s">
        <v>206</v>
      </c>
      <c r="L25" s="31" t="s">
        <v>173</v>
      </c>
      <c r="M25" s="18" t="s">
        <v>207</v>
      </c>
      <c r="N25" s="22" t="n">
        <v>150</v>
      </c>
      <c r="O25" s="23" t="n">
        <v>35</v>
      </c>
      <c r="P25" s="24" t="n">
        <f aca="false">N25-O25</f>
        <v>115</v>
      </c>
      <c r="Q25" s="15" t="s">
        <v>175</v>
      </c>
      <c r="R25" s="29" t="s">
        <v>92</v>
      </c>
      <c r="S25" s="26" t="s">
        <v>208</v>
      </c>
    </row>
    <row r="26" customFormat="false" ht="67.5" hidden="false" customHeight="true" outlineLevel="0" collapsed="false">
      <c r="A26" s="4" t="n">
        <v>23</v>
      </c>
      <c r="B26" s="5" t="s">
        <v>209</v>
      </c>
      <c r="C26" s="6" t="n">
        <v>23</v>
      </c>
      <c r="D26" s="7" t="s">
        <v>210</v>
      </c>
      <c r="E26" s="7" t="s">
        <v>211</v>
      </c>
      <c r="F26" s="8" t="n">
        <v>38000</v>
      </c>
      <c r="G26" s="8" t="n">
        <v>85</v>
      </c>
      <c r="H26" s="9" t="n">
        <v>290</v>
      </c>
      <c r="I26" s="7" t="s">
        <v>212</v>
      </c>
      <c r="J26" s="7" t="s">
        <v>213</v>
      </c>
      <c r="K26" s="10" t="s">
        <v>214</v>
      </c>
      <c r="L26" s="31" t="s">
        <v>173</v>
      </c>
      <c r="M26" s="7" t="s">
        <v>215</v>
      </c>
      <c r="N26" s="12" t="n">
        <v>160</v>
      </c>
      <c r="O26" s="13" t="n">
        <v>38</v>
      </c>
      <c r="P26" s="14" t="n">
        <f aca="false">N26-O26</f>
        <v>122</v>
      </c>
      <c r="Q26" s="15" t="s">
        <v>148</v>
      </c>
      <c r="R26" s="30" t="s">
        <v>92</v>
      </c>
      <c r="S26" s="17" t="s">
        <v>216</v>
      </c>
    </row>
    <row r="27" customFormat="false" ht="67.5" hidden="false" customHeight="true" outlineLevel="0" collapsed="false">
      <c r="A27" s="4" t="n">
        <v>24</v>
      </c>
      <c r="B27" s="4" t="s">
        <v>217</v>
      </c>
      <c r="C27" s="6" t="n">
        <v>24</v>
      </c>
      <c r="D27" s="18" t="s">
        <v>218</v>
      </c>
      <c r="E27" s="18" t="s">
        <v>219</v>
      </c>
      <c r="F27" s="19" t="n">
        <v>31000</v>
      </c>
      <c r="G27" s="19" t="n">
        <v>75</v>
      </c>
      <c r="H27" s="20" t="n">
        <v>340</v>
      </c>
      <c r="I27" s="18" t="s">
        <v>220</v>
      </c>
      <c r="J27" s="18" t="s">
        <v>221</v>
      </c>
      <c r="K27" s="21" t="s">
        <v>222</v>
      </c>
      <c r="L27" s="31" t="s">
        <v>173</v>
      </c>
      <c r="M27" s="18" t="s">
        <v>223</v>
      </c>
      <c r="N27" s="22" t="n">
        <v>140</v>
      </c>
      <c r="O27" s="23" t="n">
        <v>32</v>
      </c>
      <c r="P27" s="24" t="n">
        <f aca="false">N27-O27</f>
        <v>108</v>
      </c>
      <c r="Q27" s="15" t="s">
        <v>157</v>
      </c>
      <c r="R27" s="29" t="s">
        <v>92</v>
      </c>
      <c r="S27" s="26" t="s">
        <v>224</v>
      </c>
    </row>
    <row r="28" customFormat="false" ht="67.5" hidden="false" customHeight="true" outlineLevel="0" collapsed="false">
      <c r="A28" s="4" t="n">
        <v>25</v>
      </c>
      <c r="B28" s="5" t="s">
        <v>225</v>
      </c>
      <c r="C28" s="6" t="n">
        <v>25</v>
      </c>
      <c r="D28" s="7" t="s">
        <v>226</v>
      </c>
      <c r="E28" s="7" t="s">
        <v>227</v>
      </c>
      <c r="F28" s="8" t="n">
        <v>95000</v>
      </c>
      <c r="G28" s="8" t="n">
        <v>70</v>
      </c>
      <c r="H28" s="9" t="n">
        <v>310</v>
      </c>
      <c r="I28" s="7" t="s">
        <v>228</v>
      </c>
      <c r="J28" s="7" t="s">
        <v>229</v>
      </c>
      <c r="K28" s="10" t="s">
        <v>230</v>
      </c>
      <c r="L28" s="31" t="s">
        <v>173</v>
      </c>
      <c r="M28" s="7" t="s">
        <v>231</v>
      </c>
      <c r="N28" s="12" t="n">
        <v>130</v>
      </c>
      <c r="O28" s="13" t="n">
        <v>32</v>
      </c>
      <c r="P28" s="14" t="n">
        <f aca="false">N28-O28</f>
        <v>98</v>
      </c>
      <c r="Q28" s="15" t="s">
        <v>148</v>
      </c>
      <c r="R28" s="30" t="s">
        <v>92</v>
      </c>
      <c r="S28" s="17" t="s">
        <v>232</v>
      </c>
    </row>
    <row r="29" customFormat="false" ht="67.5" hidden="false" customHeight="true" outlineLevel="0" collapsed="false">
      <c r="A29" s="4" t="n">
        <v>26</v>
      </c>
      <c r="B29" s="4" t="s">
        <v>233</v>
      </c>
      <c r="C29" s="6" t="n">
        <v>26</v>
      </c>
      <c r="D29" s="18" t="s">
        <v>234</v>
      </c>
      <c r="E29" s="18" t="s">
        <v>235</v>
      </c>
      <c r="F29" s="19" t="n">
        <v>110000</v>
      </c>
      <c r="G29" s="19" t="n">
        <v>60</v>
      </c>
      <c r="H29" s="20" t="n">
        <v>260</v>
      </c>
      <c r="I29" s="18" t="s">
        <v>62</v>
      </c>
      <c r="J29" s="18" t="s">
        <v>236</v>
      </c>
      <c r="K29" s="21" t="s">
        <v>237</v>
      </c>
      <c r="L29" s="31" t="s">
        <v>173</v>
      </c>
      <c r="M29" s="18" t="s">
        <v>238</v>
      </c>
      <c r="N29" s="22" t="n">
        <v>120</v>
      </c>
      <c r="O29" s="23" t="n">
        <v>30</v>
      </c>
      <c r="P29" s="24" t="n">
        <f aca="false">N29-O29</f>
        <v>90</v>
      </c>
      <c r="Q29" s="15" t="s">
        <v>157</v>
      </c>
      <c r="R29" s="29" t="s">
        <v>92</v>
      </c>
      <c r="S29" s="26" t="s">
        <v>239</v>
      </c>
    </row>
    <row r="30" customFormat="false" ht="67.5" hidden="false" customHeight="true" outlineLevel="0" collapsed="false">
      <c r="A30" s="4" t="n">
        <v>27</v>
      </c>
      <c r="B30" s="5" t="s">
        <v>240</v>
      </c>
      <c r="C30" s="6" t="n">
        <v>27</v>
      </c>
      <c r="D30" s="7" t="s">
        <v>241</v>
      </c>
      <c r="E30" s="7" t="s">
        <v>242</v>
      </c>
      <c r="F30" s="8" t="n">
        <v>6500</v>
      </c>
      <c r="G30" s="8" t="n">
        <v>55</v>
      </c>
      <c r="H30" s="9" t="n">
        <v>240</v>
      </c>
      <c r="I30" s="7" t="s">
        <v>243</v>
      </c>
      <c r="J30" s="7" t="s">
        <v>244</v>
      </c>
      <c r="K30" s="10" t="s">
        <v>245</v>
      </c>
      <c r="L30" s="31" t="s">
        <v>173</v>
      </c>
      <c r="M30" s="7" t="s">
        <v>246</v>
      </c>
      <c r="N30" s="12" t="n">
        <v>110</v>
      </c>
      <c r="O30" s="13" t="n">
        <v>28</v>
      </c>
      <c r="P30" s="14" t="n">
        <f aca="false">N30-O30</f>
        <v>82</v>
      </c>
      <c r="Q30" s="15" t="s">
        <v>157</v>
      </c>
      <c r="R30" s="30" t="s">
        <v>92</v>
      </c>
      <c r="S30" s="17" t="s">
        <v>247</v>
      </c>
    </row>
    <row r="31" customFormat="false" ht="67.5" hidden="false" customHeight="true" outlineLevel="0" collapsed="false">
      <c r="A31" s="4" t="n">
        <v>28</v>
      </c>
      <c r="B31" s="4" t="s">
        <v>248</v>
      </c>
      <c r="C31" s="6" t="n">
        <v>28</v>
      </c>
      <c r="D31" s="18" t="s">
        <v>249</v>
      </c>
      <c r="E31" s="18" t="s">
        <v>250</v>
      </c>
      <c r="F31" s="19" t="n">
        <v>4100</v>
      </c>
      <c r="G31" s="19" t="n">
        <v>40</v>
      </c>
      <c r="H31" s="20" t="n">
        <v>190</v>
      </c>
      <c r="I31" s="18" t="s">
        <v>251</v>
      </c>
      <c r="J31" s="18" t="s">
        <v>252</v>
      </c>
      <c r="K31" s="21" t="s">
        <v>253</v>
      </c>
      <c r="L31" s="31" t="s">
        <v>173</v>
      </c>
      <c r="M31" s="18" t="s">
        <v>254</v>
      </c>
      <c r="N31" s="22" t="n">
        <v>95</v>
      </c>
      <c r="O31" s="23" t="n">
        <v>22</v>
      </c>
      <c r="P31" s="24" t="n">
        <f aca="false">N31-O31</f>
        <v>73</v>
      </c>
      <c r="Q31" s="15" t="s">
        <v>157</v>
      </c>
      <c r="R31" s="29" t="s">
        <v>92</v>
      </c>
      <c r="S31" s="26" t="s">
        <v>255</v>
      </c>
    </row>
    <row r="32" customFormat="false" ht="67.5" hidden="false" customHeight="true" outlineLevel="0" collapsed="false">
      <c r="A32" s="4" t="n">
        <v>29</v>
      </c>
      <c r="B32" s="5" t="s">
        <v>256</v>
      </c>
      <c r="C32" s="6" t="n">
        <v>29</v>
      </c>
      <c r="D32" s="7" t="s">
        <v>257</v>
      </c>
      <c r="E32" s="7" t="s">
        <v>258</v>
      </c>
      <c r="F32" s="8" t="n">
        <v>19000</v>
      </c>
      <c r="G32" s="8" t="n">
        <v>35</v>
      </c>
      <c r="H32" s="9" t="n">
        <v>140</v>
      </c>
      <c r="I32" s="7" t="s">
        <v>259</v>
      </c>
      <c r="J32" s="7" t="s">
        <v>260</v>
      </c>
      <c r="K32" s="10" t="s">
        <v>261</v>
      </c>
      <c r="L32" s="31" t="s">
        <v>173</v>
      </c>
      <c r="M32" s="7" t="s">
        <v>262</v>
      </c>
      <c r="N32" s="12" t="n">
        <v>150</v>
      </c>
      <c r="O32" s="13" t="n">
        <v>36</v>
      </c>
      <c r="P32" s="14" t="n">
        <f aca="false">N32-O32</f>
        <v>114</v>
      </c>
      <c r="Q32" s="15" t="s">
        <v>263</v>
      </c>
      <c r="R32" s="30" t="s">
        <v>92</v>
      </c>
      <c r="S32" s="17" t="s">
        <v>264</v>
      </c>
    </row>
    <row r="33" customFormat="false" ht="67.5" hidden="false" customHeight="true" outlineLevel="0" collapsed="false">
      <c r="A33" s="4" t="n">
        <v>30</v>
      </c>
      <c r="B33" s="4" t="s">
        <v>265</v>
      </c>
      <c r="C33" s="6" t="n">
        <v>30</v>
      </c>
      <c r="D33" s="18" t="s">
        <v>266</v>
      </c>
      <c r="E33" s="18" t="s">
        <v>267</v>
      </c>
      <c r="F33" s="19" t="n">
        <v>8500</v>
      </c>
      <c r="G33" s="19" t="n">
        <v>18</v>
      </c>
      <c r="H33" s="20" t="n">
        <v>75</v>
      </c>
      <c r="I33" s="18" t="s">
        <v>153</v>
      </c>
      <c r="J33" s="18" t="s">
        <v>268</v>
      </c>
      <c r="K33" s="21" t="s">
        <v>269</v>
      </c>
      <c r="L33" s="31" t="s">
        <v>173</v>
      </c>
      <c r="M33" s="18" t="s">
        <v>270</v>
      </c>
      <c r="N33" s="22" t="n">
        <v>85</v>
      </c>
      <c r="O33" s="23" t="n">
        <v>22</v>
      </c>
      <c r="P33" s="24" t="n">
        <f aca="false">N33-O33</f>
        <v>63</v>
      </c>
      <c r="Q33" s="15" t="s">
        <v>263</v>
      </c>
      <c r="R33" s="29" t="s">
        <v>92</v>
      </c>
      <c r="S33" s="26" t="s">
        <v>271</v>
      </c>
    </row>
    <row r="34" customFormat="false" ht="21.75" hidden="false" customHeight="true" outlineLevel="0" collapsed="false">
      <c r="A34" s="32" t="s">
        <v>272</v>
      </c>
      <c r="B34" s="32"/>
      <c r="C34" s="32"/>
      <c r="D34" s="32"/>
      <c r="E34" s="32"/>
      <c r="F34" s="33" t="n">
        <f aca="false">SUM(F4:F33)</f>
        <v>3215750</v>
      </c>
      <c r="G34" s="33" t="n">
        <f aca="false">SUM(G4:G33)</f>
        <v>6598</v>
      </c>
      <c r="H34" s="33" t="n">
        <f aca="false">SUM(H4:H33)</f>
        <v>25605</v>
      </c>
      <c r="I34" s="34"/>
      <c r="J34" s="34"/>
      <c r="K34" s="34"/>
      <c r="L34" s="34"/>
      <c r="M34" s="34"/>
      <c r="N34" s="33" t="n">
        <f aca="false">SUM(N4:N33)</f>
        <v>8115</v>
      </c>
      <c r="O34" s="33" t="n">
        <f aca="false">SUM(O4:O33)</f>
        <v>1730</v>
      </c>
      <c r="P34" s="33" t="n">
        <f aca="false">SUM(P4:P33)</f>
        <v>6385</v>
      </c>
      <c r="Q34" s="34"/>
      <c r="R34" s="34"/>
      <c r="S34" s="34"/>
    </row>
    <row r="36" customFormat="false" ht="15" hidden="false" customHeight="false" outlineLevel="0" collapsed="false">
      <c r="A36" s="35" t="s">
        <v>273</v>
      </c>
      <c r="B36" s="35"/>
      <c r="C36" s="35"/>
    </row>
    <row r="37" customFormat="false" ht="15" hidden="false" customHeight="false" outlineLevel="0" collapsed="false">
      <c r="A37" s="36" t="s">
        <v>274</v>
      </c>
      <c r="B37" s="37" t="s">
        <v>275</v>
      </c>
      <c r="C37" s="37"/>
    </row>
    <row r="38" customFormat="false" ht="15" hidden="false" customHeight="false" outlineLevel="0" collapsed="false">
      <c r="A38" s="38" t="s">
        <v>276</v>
      </c>
      <c r="B38" s="37" t="s">
        <v>277</v>
      </c>
      <c r="C38" s="37"/>
    </row>
    <row r="39" customFormat="false" ht="15" hidden="false" customHeight="false" outlineLevel="0" collapsed="false">
      <c r="A39" s="38" t="s">
        <v>278</v>
      </c>
      <c r="B39" s="37" t="s">
        <v>279</v>
      </c>
      <c r="C39" s="37"/>
    </row>
    <row r="40" customFormat="false" ht="15" hidden="false" customHeight="false" outlineLevel="0" collapsed="false">
      <c r="A40" s="39" t="s">
        <v>280</v>
      </c>
      <c r="B40" s="37" t="s">
        <v>281</v>
      </c>
      <c r="C40" s="37"/>
    </row>
    <row r="41" customFormat="false" ht="15" hidden="false" customHeight="false" outlineLevel="0" collapsed="false">
      <c r="A41" s="40" t="s">
        <v>48</v>
      </c>
      <c r="B41" s="37" t="s">
        <v>282</v>
      </c>
      <c r="C41" s="37"/>
    </row>
    <row r="42" customFormat="false" ht="15" hidden="false" customHeight="false" outlineLevel="0" collapsed="false">
      <c r="A42" s="40" t="s">
        <v>30</v>
      </c>
      <c r="B42" s="37" t="s">
        <v>283</v>
      </c>
      <c r="C42" s="37"/>
    </row>
    <row r="43" customFormat="false" ht="15" hidden="false" customHeight="false" outlineLevel="0" collapsed="false">
      <c r="A43" s="40" t="s">
        <v>92</v>
      </c>
      <c r="B43" s="37" t="s">
        <v>284</v>
      </c>
      <c r="C43" s="37"/>
    </row>
  </sheetData>
  <mergeCells count="11">
    <mergeCell ref="A1:S1"/>
    <mergeCell ref="A2:S2"/>
    <mergeCell ref="A34:E34"/>
    <mergeCell ref="A36:C36"/>
    <mergeCell ref="B37:C37"/>
    <mergeCell ref="B38:C38"/>
    <mergeCell ref="B39:C39"/>
    <mergeCell ref="B40:C40"/>
    <mergeCell ref="B41:C41"/>
    <mergeCell ref="B42:C42"/>
    <mergeCell ref="B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35"/>
  </cols>
  <sheetData>
    <row r="1" customFormat="false" ht="30" hidden="false" customHeight="true" outlineLevel="0" collapsed="false">
      <c r="A1" s="1" t="s">
        <v>285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3" t="s">
        <v>286</v>
      </c>
      <c r="B2" s="3" t="s">
        <v>287</v>
      </c>
      <c r="C2" s="3" t="s">
        <v>288</v>
      </c>
      <c r="D2" s="3" t="s">
        <v>289</v>
      </c>
      <c r="E2" s="3" t="s">
        <v>290</v>
      </c>
      <c r="F2" s="3" t="s">
        <v>291</v>
      </c>
      <c r="G2" s="3" t="s">
        <v>292</v>
      </c>
      <c r="H2" s="3" t="s">
        <v>293</v>
      </c>
    </row>
    <row r="3" customFormat="false" ht="30" hidden="false" customHeight="true" outlineLevel="0" collapsed="false">
      <c r="A3" s="41" t="s">
        <v>294</v>
      </c>
      <c r="B3" s="18" t="s">
        <v>295</v>
      </c>
      <c r="C3" s="18" t="s">
        <v>296</v>
      </c>
      <c r="D3" s="42" t="s">
        <v>297</v>
      </c>
      <c r="E3" s="43" t="s">
        <v>298</v>
      </c>
      <c r="F3" s="43" t="s">
        <v>299</v>
      </c>
      <c r="G3" s="44" t="s">
        <v>300</v>
      </c>
      <c r="H3" s="45" t="s">
        <v>301</v>
      </c>
    </row>
    <row r="4" customFormat="false" ht="30" hidden="false" customHeight="true" outlineLevel="0" collapsed="false">
      <c r="A4" s="41" t="s">
        <v>294</v>
      </c>
      <c r="B4" s="7" t="s">
        <v>302</v>
      </c>
      <c r="C4" s="7" t="s">
        <v>303</v>
      </c>
      <c r="D4" s="46" t="s">
        <v>297</v>
      </c>
      <c r="E4" s="47" t="s">
        <v>298</v>
      </c>
      <c r="F4" s="47" t="s">
        <v>304</v>
      </c>
      <c r="G4" s="48" t="s">
        <v>300</v>
      </c>
      <c r="H4" s="49" t="s">
        <v>305</v>
      </c>
    </row>
    <row r="5" customFormat="false" ht="30" hidden="false" customHeight="true" outlineLevel="0" collapsed="false">
      <c r="A5" s="50" t="s">
        <v>306</v>
      </c>
      <c r="B5" s="18" t="s">
        <v>307</v>
      </c>
      <c r="C5" s="18" t="s">
        <v>308</v>
      </c>
      <c r="D5" s="42" t="s">
        <v>297</v>
      </c>
      <c r="E5" s="43" t="s">
        <v>309</v>
      </c>
      <c r="F5" s="43" t="s">
        <v>310</v>
      </c>
      <c r="G5" s="28" t="s">
        <v>311</v>
      </c>
      <c r="H5" s="45" t="s">
        <v>312</v>
      </c>
    </row>
    <row r="6" customFormat="false" ht="30" hidden="false" customHeight="true" outlineLevel="0" collapsed="false">
      <c r="A6" s="50" t="s">
        <v>306</v>
      </c>
      <c r="B6" s="7" t="s">
        <v>313</v>
      </c>
      <c r="C6" s="7" t="s">
        <v>314</v>
      </c>
      <c r="D6" s="46" t="s">
        <v>315</v>
      </c>
      <c r="E6" s="47" t="s">
        <v>310</v>
      </c>
      <c r="F6" s="47" t="s">
        <v>316</v>
      </c>
      <c r="G6" s="30" t="s">
        <v>92</v>
      </c>
      <c r="H6" s="49" t="s">
        <v>317</v>
      </c>
    </row>
    <row r="7" customFormat="false" ht="30" hidden="false" customHeight="true" outlineLevel="0" collapsed="false">
      <c r="A7" s="51" t="s">
        <v>318</v>
      </c>
      <c r="B7" s="18" t="s">
        <v>319</v>
      </c>
      <c r="C7" s="18" t="s">
        <v>314</v>
      </c>
      <c r="D7" s="42" t="s">
        <v>315</v>
      </c>
      <c r="E7" s="43" t="s">
        <v>320</v>
      </c>
      <c r="F7" s="43" t="s">
        <v>321</v>
      </c>
      <c r="G7" s="29" t="s">
        <v>92</v>
      </c>
      <c r="H7" s="45" t="s">
        <v>322</v>
      </c>
    </row>
    <row r="8" customFormat="false" ht="30" hidden="false" customHeight="true" outlineLevel="0" collapsed="false">
      <c r="A8" s="51" t="s">
        <v>318</v>
      </c>
      <c r="B8" s="7" t="s">
        <v>323</v>
      </c>
      <c r="C8" s="7" t="s">
        <v>324</v>
      </c>
      <c r="D8" s="46" t="s">
        <v>315</v>
      </c>
      <c r="E8" s="47" t="s">
        <v>325</v>
      </c>
      <c r="F8" s="47" t="s">
        <v>326</v>
      </c>
      <c r="G8" s="30" t="s">
        <v>92</v>
      </c>
      <c r="H8" s="49" t="s">
        <v>327</v>
      </c>
    </row>
    <row r="9" customFormat="false" ht="30" hidden="false" customHeight="true" outlineLevel="0" collapsed="false">
      <c r="A9" s="52" t="s">
        <v>328</v>
      </c>
      <c r="B9" s="18" t="s">
        <v>329</v>
      </c>
      <c r="C9" s="18" t="s">
        <v>330</v>
      </c>
      <c r="D9" s="42" t="s">
        <v>315</v>
      </c>
      <c r="E9" s="43" t="s">
        <v>331</v>
      </c>
      <c r="F9" s="43" t="s">
        <v>332</v>
      </c>
      <c r="G9" s="29" t="s">
        <v>92</v>
      </c>
      <c r="H9" s="45" t="s">
        <v>333</v>
      </c>
    </row>
    <row r="10" customFormat="false" ht="30" hidden="false" customHeight="true" outlineLevel="0" collapsed="false">
      <c r="A10" s="50" t="s">
        <v>306</v>
      </c>
      <c r="B10" s="7" t="s">
        <v>334</v>
      </c>
      <c r="C10" s="7" t="s">
        <v>314</v>
      </c>
      <c r="D10" s="46" t="s">
        <v>335</v>
      </c>
      <c r="E10" s="47" t="s">
        <v>336</v>
      </c>
      <c r="F10" s="47" t="s">
        <v>337</v>
      </c>
      <c r="G10" s="30" t="s">
        <v>92</v>
      </c>
      <c r="H10" s="49" t="s">
        <v>338</v>
      </c>
    </row>
    <row r="11" customFormat="false" ht="30" hidden="false" customHeight="true" outlineLevel="0" collapsed="false">
      <c r="A11" s="51" t="s">
        <v>318</v>
      </c>
      <c r="B11" s="18" t="s">
        <v>339</v>
      </c>
      <c r="C11" s="18" t="s">
        <v>324</v>
      </c>
      <c r="D11" s="42" t="s">
        <v>335</v>
      </c>
      <c r="E11" s="43" t="s">
        <v>337</v>
      </c>
      <c r="F11" s="43" t="s">
        <v>340</v>
      </c>
      <c r="G11" s="29" t="s">
        <v>92</v>
      </c>
      <c r="H11" s="45" t="s">
        <v>341</v>
      </c>
    </row>
    <row r="12" customFormat="false" ht="30" hidden="false" customHeight="true" outlineLevel="0" collapsed="false">
      <c r="A12" s="52" t="s">
        <v>328</v>
      </c>
      <c r="B12" s="7" t="s">
        <v>342</v>
      </c>
      <c r="C12" s="7" t="s">
        <v>330</v>
      </c>
      <c r="D12" s="46" t="s">
        <v>335</v>
      </c>
      <c r="E12" s="47" t="s">
        <v>343</v>
      </c>
      <c r="F12" s="47" t="s">
        <v>344</v>
      </c>
      <c r="G12" s="30" t="s">
        <v>92</v>
      </c>
      <c r="H12" s="49" t="s">
        <v>345</v>
      </c>
    </row>
    <row r="13" customFormat="false" ht="30" hidden="false" customHeight="true" outlineLevel="0" collapsed="false">
      <c r="A13" s="50" t="s">
        <v>306</v>
      </c>
      <c r="B13" s="18" t="s">
        <v>346</v>
      </c>
      <c r="C13" s="18" t="s">
        <v>314</v>
      </c>
      <c r="D13" s="42" t="s">
        <v>347</v>
      </c>
      <c r="E13" s="43" t="s">
        <v>348</v>
      </c>
      <c r="F13" s="43" t="s">
        <v>349</v>
      </c>
      <c r="G13" s="29" t="s">
        <v>92</v>
      </c>
      <c r="H13" s="45" t="s">
        <v>350</v>
      </c>
    </row>
    <row r="14" customFormat="false" ht="30" hidden="false" customHeight="true" outlineLevel="0" collapsed="false">
      <c r="A14" s="51" t="s">
        <v>318</v>
      </c>
      <c r="B14" s="7" t="s">
        <v>351</v>
      </c>
      <c r="C14" s="7" t="s">
        <v>324</v>
      </c>
      <c r="D14" s="46" t="s">
        <v>347</v>
      </c>
      <c r="E14" s="47" t="s">
        <v>349</v>
      </c>
      <c r="F14" s="47" t="s">
        <v>352</v>
      </c>
      <c r="G14" s="30" t="s">
        <v>92</v>
      </c>
      <c r="H14" s="49" t="s">
        <v>353</v>
      </c>
    </row>
    <row r="15" customFormat="false" ht="30" hidden="false" customHeight="true" outlineLevel="0" collapsed="false">
      <c r="A15" s="52" t="s">
        <v>328</v>
      </c>
      <c r="B15" s="18" t="s">
        <v>354</v>
      </c>
      <c r="C15" s="18" t="s">
        <v>330</v>
      </c>
      <c r="D15" s="42" t="s">
        <v>347</v>
      </c>
      <c r="E15" s="43" t="s">
        <v>355</v>
      </c>
      <c r="F15" s="43" t="s">
        <v>356</v>
      </c>
      <c r="G15" s="29" t="s">
        <v>92</v>
      </c>
      <c r="H15" s="45" t="s">
        <v>357</v>
      </c>
    </row>
    <row r="16" customFormat="false" ht="30" hidden="false" customHeight="true" outlineLevel="0" collapsed="false">
      <c r="A16" s="52" t="s">
        <v>328</v>
      </c>
      <c r="B16" s="7" t="s">
        <v>358</v>
      </c>
      <c r="C16" s="7" t="s">
        <v>359</v>
      </c>
      <c r="D16" s="46" t="s">
        <v>360</v>
      </c>
      <c r="E16" s="47" t="s">
        <v>336</v>
      </c>
      <c r="F16" s="47" t="s">
        <v>361</v>
      </c>
      <c r="G16" s="30" t="s">
        <v>92</v>
      </c>
      <c r="H16" s="49" t="s">
        <v>362</v>
      </c>
    </row>
    <row r="17" customFormat="false" ht="30" hidden="false" customHeight="true" outlineLevel="0" collapsed="false">
      <c r="A17" s="52" t="s">
        <v>328</v>
      </c>
      <c r="B17" s="18" t="s">
        <v>363</v>
      </c>
      <c r="C17" s="18" t="s">
        <v>359</v>
      </c>
      <c r="D17" s="42" t="s">
        <v>364</v>
      </c>
      <c r="E17" s="43" t="s">
        <v>343</v>
      </c>
      <c r="F17" s="43" t="s">
        <v>365</v>
      </c>
      <c r="G17" s="29" t="s">
        <v>92</v>
      </c>
      <c r="H17" s="45" t="s">
        <v>366</v>
      </c>
    </row>
    <row r="18" customFormat="false" ht="30" hidden="false" customHeight="true" outlineLevel="0" collapsed="false">
      <c r="A18" s="53" t="s">
        <v>367</v>
      </c>
      <c r="B18" s="7" t="s">
        <v>368</v>
      </c>
      <c r="C18" s="7" t="s">
        <v>296</v>
      </c>
      <c r="D18" s="46" t="s">
        <v>297</v>
      </c>
      <c r="E18" s="47" t="s">
        <v>369</v>
      </c>
      <c r="F18" s="47" t="s">
        <v>369</v>
      </c>
      <c r="G18" s="30" t="s">
        <v>92</v>
      </c>
      <c r="H18" s="49" t="s">
        <v>370</v>
      </c>
    </row>
    <row r="19" customFormat="false" ht="30" hidden="false" customHeight="true" outlineLevel="0" collapsed="false">
      <c r="A19" s="53" t="s">
        <v>367</v>
      </c>
      <c r="B19" s="18" t="s">
        <v>371</v>
      </c>
      <c r="C19" s="18" t="s">
        <v>372</v>
      </c>
      <c r="D19" s="42" t="s">
        <v>297</v>
      </c>
      <c r="E19" s="43" t="s">
        <v>373</v>
      </c>
      <c r="F19" s="43" t="s">
        <v>356</v>
      </c>
      <c r="G19" s="29" t="s">
        <v>92</v>
      </c>
      <c r="H19" s="45" t="s">
        <v>374</v>
      </c>
    </row>
    <row r="20" customFormat="false" ht="30" hidden="false" customHeight="true" outlineLevel="0" collapsed="false">
      <c r="A20" s="54" t="s">
        <v>375</v>
      </c>
      <c r="B20" s="7" t="s">
        <v>376</v>
      </c>
      <c r="C20" s="7" t="s">
        <v>377</v>
      </c>
      <c r="D20" s="46" t="s">
        <v>297</v>
      </c>
      <c r="E20" s="47" t="s">
        <v>378</v>
      </c>
      <c r="F20" s="47" t="s">
        <v>379</v>
      </c>
      <c r="G20" s="30" t="s">
        <v>92</v>
      </c>
      <c r="H20" s="49" t="s">
        <v>380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6" min="4" style="0" width="20"/>
  </cols>
  <sheetData>
    <row r="1" customFormat="false" ht="30" hidden="false" customHeight="true" outlineLevel="0" collapsed="false">
      <c r="A1" s="1" t="s">
        <v>381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3" t="s">
        <v>382</v>
      </c>
      <c r="B2" s="3" t="s">
        <v>383</v>
      </c>
      <c r="C2" s="3" t="s">
        <v>384</v>
      </c>
      <c r="D2" s="3" t="s">
        <v>385</v>
      </c>
      <c r="E2" s="3" t="s">
        <v>386</v>
      </c>
      <c r="F2" s="3" t="s">
        <v>387</v>
      </c>
    </row>
    <row r="3" customFormat="false" ht="18" hidden="false" customHeight="true" outlineLevel="0" collapsed="false">
      <c r="A3" s="55" t="s">
        <v>21</v>
      </c>
      <c r="B3" s="56" t="n">
        <v>710</v>
      </c>
      <c r="C3" s="57" t="n">
        <v>140</v>
      </c>
      <c r="D3" s="58" t="n">
        <f aca="false">B3-C3</f>
        <v>570</v>
      </c>
      <c r="E3" s="58" t="n">
        <f aca="false">D3*3</f>
        <v>1710</v>
      </c>
      <c r="F3" s="58" t="n">
        <f aca="false">D3*5</f>
        <v>2850</v>
      </c>
    </row>
    <row r="4" customFormat="false" ht="18" hidden="false" customHeight="true" outlineLevel="0" collapsed="false">
      <c r="A4" s="59" t="s">
        <v>32</v>
      </c>
      <c r="B4" s="60" t="n">
        <v>540</v>
      </c>
      <c r="C4" s="61" t="n">
        <v>105</v>
      </c>
      <c r="D4" s="62" t="n">
        <f aca="false">B4-C4</f>
        <v>435</v>
      </c>
      <c r="E4" s="62" t="n">
        <f aca="false">D4*3</f>
        <v>1305</v>
      </c>
      <c r="F4" s="62" t="n">
        <f aca="false">D4*5</f>
        <v>2175</v>
      </c>
    </row>
    <row r="5" customFormat="false" ht="18" hidden="false" customHeight="true" outlineLevel="0" collapsed="false">
      <c r="A5" s="55" t="s">
        <v>40</v>
      </c>
      <c r="B5" s="56" t="n">
        <v>620</v>
      </c>
      <c r="C5" s="57" t="n">
        <v>110</v>
      </c>
      <c r="D5" s="58" t="n">
        <f aca="false">B5-C5</f>
        <v>510</v>
      </c>
      <c r="E5" s="58" t="n">
        <f aca="false">D5*3</f>
        <v>1530</v>
      </c>
      <c r="F5" s="58" t="n">
        <f aca="false">D5*5</f>
        <v>2550</v>
      </c>
    </row>
    <row r="6" customFormat="false" ht="18" hidden="false" customHeight="true" outlineLevel="0" collapsed="false">
      <c r="A6" s="59" t="s">
        <v>50</v>
      </c>
      <c r="B6" s="60" t="n">
        <v>470</v>
      </c>
      <c r="C6" s="61" t="n">
        <v>95</v>
      </c>
      <c r="D6" s="62" t="n">
        <f aca="false">B6-C6</f>
        <v>375</v>
      </c>
      <c r="E6" s="62" t="n">
        <f aca="false">D6*3</f>
        <v>1125</v>
      </c>
      <c r="F6" s="62" t="n">
        <f aca="false">D6*5</f>
        <v>1875</v>
      </c>
    </row>
    <row r="7" customFormat="false" ht="18" hidden="false" customHeight="true" outlineLevel="0" collapsed="false">
      <c r="A7" s="55" t="s">
        <v>59</v>
      </c>
      <c r="B7" s="56" t="n">
        <v>390</v>
      </c>
      <c r="C7" s="57" t="n">
        <v>85</v>
      </c>
      <c r="D7" s="58" t="n">
        <f aca="false">B7-C7</f>
        <v>305</v>
      </c>
      <c r="E7" s="58" t="n">
        <f aca="false">D7*3</f>
        <v>915</v>
      </c>
      <c r="F7" s="58" t="n">
        <f aca="false">D7*5</f>
        <v>1525</v>
      </c>
    </row>
    <row r="8" customFormat="false" ht="18" hidden="false" customHeight="true" outlineLevel="0" collapsed="false">
      <c r="A8" s="59" t="s">
        <v>67</v>
      </c>
      <c r="B8" s="60" t="n">
        <v>480</v>
      </c>
      <c r="C8" s="61" t="n">
        <v>95</v>
      </c>
      <c r="D8" s="62" t="n">
        <f aca="false">B8-C8</f>
        <v>385</v>
      </c>
      <c r="E8" s="62" t="n">
        <f aca="false">D8*3</f>
        <v>1155</v>
      </c>
      <c r="F8" s="62" t="n">
        <f aca="false">D8*5</f>
        <v>1925</v>
      </c>
    </row>
    <row r="9" customFormat="false" ht="18" hidden="false" customHeight="true" outlineLevel="0" collapsed="false">
      <c r="A9" s="55" t="s">
        <v>76</v>
      </c>
      <c r="B9" s="56" t="n">
        <v>310</v>
      </c>
      <c r="C9" s="57" t="n">
        <v>65</v>
      </c>
      <c r="D9" s="58" t="n">
        <f aca="false">B9-C9</f>
        <v>245</v>
      </c>
      <c r="E9" s="58" t="n">
        <f aca="false">D9*3</f>
        <v>735</v>
      </c>
      <c r="F9" s="58" t="n">
        <f aca="false">D9*5</f>
        <v>1225</v>
      </c>
    </row>
    <row r="10" customFormat="false" ht="18" hidden="false" customHeight="true" outlineLevel="0" collapsed="false">
      <c r="A10" s="59" t="s">
        <v>84</v>
      </c>
      <c r="B10" s="60" t="n">
        <v>280</v>
      </c>
      <c r="C10" s="61" t="n">
        <v>60</v>
      </c>
      <c r="D10" s="62" t="n">
        <f aca="false">B10-C10</f>
        <v>220</v>
      </c>
      <c r="E10" s="62" t="n">
        <f aca="false">D10*3</f>
        <v>660</v>
      </c>
      <c r="F10" s="62" t="n">
        <f aca="false">D10*5</f>
        <v>1100</v>
      </c>
    </row>
    <row r="11" customFormat="false" ht="18" hidden="false" customHeight="true" outlineLevel="0" collapsed="false">
      <c r="A11" s="55" t="s">
        <v>94</v>
      </c>
      <c r="B11" s="56" t="n">
        <v>350</v>
      </c>
      <c r="C11" s="57" t="n">
        <v>75</v>
      </c>
      <c r="D11" s="58" t="n">
        <f aca="false">B11-C11</f>
        <v>275</v>
      </c>
      <c r="E11" s="58" t="n">
        <f aca="false">D11*3</f>
        <v>825</v>
      </c>
      <c r="F11" s="58" t="n">
        <f aca="false">D11*5</f>
        <v>1375</v>
      </c>
    </row>
    <row r="12" customFormat="false" ht="18" hidden="false" customHeight="true" outlineLevel="0" collapsed="false">
      <c r="A12" s="59" t="s">
        <v>102</v>
      </c>
      <c r="B12" s="60" t="n">
        <v>340</v>
      </c>
      <c r="C12" s="61" t="n">
        <v>70</v>
      </c>
      <c r="D12" s="62" t="n">
        <f aca="false">B12-C12</f>
        <v>270</v>
      </c>
      <c r="E12" s="62" t="n">
        <f aca="false">D12*3</f>
        <v>810</v>
      </c>
      <c r="F12" s="62" t="n">
        <f aca="false">D12*5</f>
        <v>1350</v>
      </c>
    </row>
    <row r="13" customFormat="false" ht="18" hidden="false" customHeight="true" outlineLevel="0" collapsed="false">
      <c r="A13" s="55" t="s">
        <v>110</v>
      </c>
      <c r="B13" s="56" t="n">
        <v>330</v>
      </c>
      <c r="C13" s="57" t="n">
        <v>72</v>
      </c>
      <c r="D13" s="58" t="n">
        <f aca="false">B13-C13</f>
        <v>258</v>
      </c>
      <c r="E13" s="58" t="n">
        <f aca="false">D13*3</f>
        <v>774</v>
      </c>
      <c r="F13" s="58" t="n">
        <f aca="false">D13*5</f>
        <v>1290</v>
      </c>
    </row>
    <row r="14" customFormat="false" ht="18" hidden="false" customHeight="true" outlineLevel="0" collapsed="false">
      <c r="A14" s="59" t="s">
        <v>118</v>
      </c>
      <c r="B14" s="60" t="n">
        <v>290</v>
      </c>
      <c r="C14" s="61" t="n">
        <v>60</v>
      </c>
      <c r="D14" s="62" t="n">
        <f aca="false">B14-C14</f>
        <v>230</v>
      </c>
      <c r="E14" s="62" t="n">
        <f aca="false">D14*3</f>
        <v>690</v>
      </c>
      <c r="F14" s="62" t="n">
        <f aca="false">D14*5</f>
        <v>1150</v>
      </c>
    </row>
    <row r="15" customFormat="false" ht="18" hidden="false" customHeight="true" outlineLevel="0" collapsed="false">
      <c r="A15" s="55" t="s">
        <v>126</v>
      </c>
      <c r="B15" s="56" t="n">
        <v>240</v>
      </c>
      <c r="C15" s="57" t="n">
        <v>55</v>
      </c>
      <c r="D15" s="58" t="n">
        <f aca="false">B15-C15</f>
        <v>185</v>
      </c>
      <c r="E15" s="58" t="n">
        <f aca="false">D15*3</f>
        <v>555</v>
      </c>
      <c r="F15" s="58" t="n">
        <f aca="false">D15*5</f>
        <v>925</v>
      </c>
    </row>
    <row r="16" customFormat="false" ht="18" hidden="false" customHeight="true" outlineLevel="0" collapsed="false">
      <c r="A16" s="59" t="s">
        <v>133</v>
      </c>
      <c r="B16" s="60" t="n">
        <v>215</v>
      </c>
      <c r="C16" s="61" t="n">
        <v>48</v>
      </c>
      <c r="D16" s="62" t="n">
        <f aca="false">B16-C16</f>
        <v>167</v>
      </c>
      <c r="E16" s="62" t="n">
        <f aca="false">D16*3</f>
        <v>501</v>
      </c>
      <c r="F16" s="62" t="n">
        <f aca="false">D16*5</f>
        <v>835</v>
      </c>
    </row>
    <row r="17" customFormat="false" ht="18" hidden="false" customHeight="true" outlineLevel="0" collapsed="false">
      <c r="A17" s="55" t="s">
        <v>141</v>
      </c>
      <c r="B17" s="56" t="n">
        <v>225</v>
      </c>
      <c r="C17" s="57" t="n">
        <v>50</v>
      </c>
      <c r="D17" s="58" t="n">
        <f aca="false">B17-C17</f>
        <v>175</v>
      </c>
      <c r="E17" s="58" t="n">
        <f aca="false">D17*3</f>
        <v>525</v>
      </c>
      <c r="F17" s="58" t="n">
        <f aca="false">D17*5</f>
        <v>875</v>
      </c>
    </row>
    <row r="18" customFormat="false" ht="18" hidden="false" customHeight="true" outlineLevel="0" collapsed="false">
      <c r="A18" s="59" t="s">
        <v>150</v>
      </c>
      <c r="B18" s="60" t="n">
        <v>170</v>
      </c>
      <c r="C18" s="61" t="n">
        <v>40</v>
      </c>
      <c r="D18" s="62" t="n">
        <f aca="false">B18-C18</f>
        <v>130</v>
      </c>
      <c r="E18" s="62" t="n">
        <f aca="false">D18*3</f>
        <v>390</v>
      </c>
      <c r="F18" s="62" t="n">
        <f aca="false">D18*5</f>
        <v>650</v>
      </c>
    </row>
    <row r="19" customFormat="false" ht="18" hidden="false" customHeight="true" outlineLevel="0" collapsed="false">
      <c r="A19" s="55" t="s">
        <v>159</v>
      </c>
      <c r="B19" s="56" t="n">
        <v>175</v>
      </c>
      <c r="C19" s="57" t="n">
        <v>40</v>
      </c>
      <c r="D19" s="58" t="n">
        <f aca="false">B19-C19</f>
        <v>135</v>
      </c>
      <c r="E19" s="58" t="n">
        <f aca="false">D19*3</f>
        <v>405</v>
      </c>
      <c r="F19" s="58" t="n">
        <f aca="false">D19*5</f>
        <v>675</v>
      </c>
    </row>
    <row r="20" customFormat="false" ht="18" hidden="false" customHeight="true" outlineLevel="0" collapsed="false">
      <c r="A20" s="59" t="s">
        <v>167</v>
      </c>
      <c r="B20" s="60" t="n">
        <v>260</v>
      </c>
      <c r="C20" s="61" t="n">
        <v>55</v>
      </c>
      <c r="D20" s="62" t="n">
        <f aca="false">B20-C20</f>
        <v>205</v>
      </c>
      <c r="E20" s="62" t="n">
        <f aca="false">D20*3</f>
        <v>615</v>
      </c>
      <c r="F20" s="62" t="n">
        <f aca="false">D20*5</f>
        <v>1025</v>
      </c>
    </row>
    <row r="21" customFormat="false" ht="18" hidden="false" customHeight="true" outlineLevel="0" collapsed="false">
      <c r="A21" s="55" t="s">
        <v>177</v>
      </c>
      <c r="B21" s="56" t="n">
        <v>220</v>
      </c>
      <c r="C21" s="57" t="n">
        <v>50</v>
      </c>
      <c r="D21" s="58" t="n">
        <f aca="false">B21-C21</f>
        <v>170</v>
      </c>
      <c r="E21" s="58" t="n">
        <f aca="false">D21*3</f>
        <v>510</v>
      </c>
      <c r="F21" s="58" t="n">
        <f aca="false">D21*5</f>
        <v>850</v>
      </c>
    </row>
    <row r="22" customFormat="false" ht="18" hidden="false" customHeight="true" outlineLevel="0" collapsed="false">
      <c r="A22" s="59" t="s">
        <v>185</v>
      </c>
      <c r="B22" s="60" t="n">
        <v>165</v>
      </c>
      <c r="C22" s="61" t="n">
        <v>40</v>
      </c>
      <c r="D22" s="62" t="n">
        <f aca="false">B22-C22</f>
        <v>125</v>
      </c>
      <c r="E22" s="62" t="n">
        <f aca="false">D22*3</f>
        <v>375</v>
      </c>
      <c r="F22" s="62" t="n">
        <f aca="false">D22*5</f>
        <v>625</v>
      </c>
    </row>
    <row r="23" customFormat="false" ht="18" hidden="false" customHeight="true" outlineLevel="0" collapsed="false">
      <c r="A23" s="55" t="s">
        <v>193</v>
      </c>
      <c r="B23" s="56" t="n">
        <v>195</v>
      </c>
      <c r="C23" s="57" t="n">
        <v>45</v>
      </c>
      <c r="D23" s="58" t="n">
        <f aca="false">B23-C23</f>
        <v>150</v>
      </c>
      <c r="E23" s="58" t="n">
        <f aca="false">D23*3</f>
        <v>450</v>
      </c>
      <c r="F23" s="58" t="n">
        <f aca="false">D23*5</f>
        <v>750</v>
      </c>
    </row>
    <row r="24" customFormat="false" ht="18" hidden="false" customHeight="true" outlineLevel="0" collapsed="false">
      <c r="A24" s="59" t="s">
        <v>201</v>
      </c>
      <c r="B24" s="60" t="n">
        <v>150</v>
      </c>
      <c r="C24" s="61" t="n">
        <v>35</v>
      </c>
      <c r="D24" s="62" t="n">
        <f aca="false">B24-C24</f>
        <v>115</v>
      </c>
      <c r="E24" s="62" t="n">
        <f aca="false">D24*3</f>
        <v>345</v>
      </c>
      <c r="F24" s="62" t="n">
        <f aca="false">D24*5</f>
        <v>575</v>
      </c>
    </row>
    <row r="25" customFormat="false" ht="18" hidden="false" customHeight="true" outlineLevel="0" collapsed="false">
      <c r="A25" s="55" t="s">
        <v>209</v>
      </c>
      <c r="B25" s="56" t="n">
        <v>160</v>
      </c>
      <c r="C25" s="57" t="n">
        <v>38</v>
      </c>
      <c r="D25" s="58" t="n">
        <f aca="false">B25-C25</f>
        <v>122</v>
      </c>
      <c r="E25" s="58" t="n">
        <f aca="false">D25*3</f>
        <v>366</v>
      </c>
      <c r="F25" s="58" t="n">
        <f aca="false">D25*5</f>
        <v>610</v>
      </c>
    </row>
    <row r="26" customFormat="false" ht="18" hidden="false" customHeight="true" outlineLevel="0" collapsed="false">
      <c r="A26" s="59" t="s">
        <v>217</v>
      </c>
      <c r="B26" s="60" t="n">
        <v>140</v>
      </c>
      <c r="C26" s="61" t="n">
        <v>32</v>
      </c>
      <c r="D26" s="62" t="n">
        <f aca="false">B26-C26</f>
        <v>108</v>
      </c>
      <c r="E26" s="62" t="n">
        <f aca="false">D26*3</f>
        <v>324</v>
      </c>
      <c r="F26" s="62" t="n">
        <f aca="false">D26*5</f>
        <v>540</v>
      </c>
    </row>
    <row r="27" customFormat="false" ht="18" hidden="false" customHeight="true" outlineLevel="0" collapsed="false">
      <c r="A27" s="55" t="s">
        <v>225</v>
      </c>
      <c r="B27" s="56" t="n">
        <v>130</v>
      </c>
      <c r="C27" s="57" t="n">
        <v>32</v>
      </c>
      <c r="D27" s="58" t="n">
        <f aca="false">B27-C27</f>
        <v>98</v>
      </c>
      <c r="E27" s="58" t="n">
        <f aca="false">D27*3</f>
        <v>294</v>
      </c>
      <c r="F27" s="58" t="n">
        <f aca="false">D27*5</f>
        <v>490</v>
      </c>
    </row>
    <row r="28" customFormat="false" ht="18" hidden="false" customHeight="true" outlineLevel="0" collapsed="false">
      <c r="A28" s="59" t="s">
        <v>233</v>
      </c>
      <c r="B28" s="60" t="n">
        <v>120</v>
      </c>
      <c r="C28" s="61" t="n">
        <v>30</v>
      </c>
      <c r="D28" s="62" t="n">
        <f aca="false">B28-C28</f>
        <v>90</v>
      </c>
      <c r="E28" s="62" t="n">
        <f aca="false">D28*3</f>
        <v>270</v>
      </c>
      <c r="F28" s="62" t="n">
        <f aca="false">D28*5</f>
        <v>450</v>
      </c>
    </row>
    <row r="29" customFormat="false" ht="18" hidden="false" customHeight="true" outlineLevel="0" collapsed="false">
      <c r="A29" s="55" t="s">
        <v>240</v>
      </c>
      <c r="B29" s="56" t="n">
        <v>110</v>
      </c>
      <c r="C29" s="57" t="n">
        <v>28</v>
      </c>
      <c r="D29" s="58" t="n">
        <f aca="false">B29-C29</f>
        <v>82</v>
      </c>
      <c r="E29" s="58" t="n">
        <f aca="false">D29*3</f>
        <v>246</v>
      </c>
      <c r="F29" s="58" t="n">
        <f aca="false">D29*5</f>
        <v>410</v>
      </c>
    </row>
    <row r="30" customFormat="false" ht="18" hidden="false" customHeight="true" outlineLevel="0" collapsed="false">
      <c r="A30" s="59" t="s">
        <v>248</v>
      </c>
      <c r="B30" s="60" t="n">
        <v>95</v>
      </c>
      <c r="C30" s="61" t="n">
        <v>22</v>
      </c>
      <c r="D30" s="62" t="n">
        <f aca="false">B30-C30</f>
        <v>73</v>
      </c>
      <c r="E30" s="62" t="n">
        <f aca="false">D30*3</f>
        <v>219</v>
      </c>
      <c r="F30" s="62" t="n">
        <f aca="false">D30*5</f>
        <v>365</v>
      </c>
    </row>
    <row r="31" customFormat="false" ht="18" hidden="false" customHeight="true" outlineLevel="0" collapsed="false">
      <c r="A31" s="55" t="s">
        <v>256</v>
      </c>
      <c r="B31" s="56" t="n">
        <v>150</v>
      </c>
      <c r="C31" s="57" t="n">
        <v>36</v>
      </c>
      <c r="D31" s="58" t="n">
        <f aca="false">B31-C31</f>
        <v>114</v>
      </c>
      <c r="E31" s="58" t="n">
        <f aca="false">D31*3</f>
        <v>342</v>
      </c>
      <c r="F31" s="58" t="n">
        <f aca="false">D31*5</f>
        <v>570</v>
      </c>
    </row>
    <row r="32" customFormat="false" ht="18" hidden="false" customHeight="true" outlineLevel="0" collapsed="false">
      <c r="A32" s="59" t="s">
        <v>265</v>
      </c>
      <c r="B32" s="60" t="n">
        <v>85</v>
      </c>
      <c r="C32" s="61" t="n">
        <v>22</v>
      </c>
      <c r="D32" s="62" t="n">
        <f aca="false">B32-C32</f>
        <v>63</v>
      </c>
      <c r="E32" s="62" t="n">
        <f aca="false">D32*3</f>
        <v>189</v>
      </c>
      <c r="F32" s="62" t="n">
        <f aca="false">D32*5</f>
        <v>315</v>
      </c>
    </row>
    <row r="33" customFormat="false" ht="24.75" hidden="false" customHeight="true" outlineLevel="0" collapsed="false">
      <c r="A33" s="63" t="s">
        <v>388</v>
      </c>
      <c r="B33" s="64" t="n">
        <f aca="false">SUM(B3:B32)</f>
        <v>8115</v>
      </c>
      <c r="C33" s="64" t="n">
        <f aca="false">SUM(C3:C32)</f>
        <v>1730</v>
      </c>
      <c r="D33" s="64" t="n">
        <f aca="false">SUM(D3:D32)</f>
        <v>6385</v>
      </c>
      <c r="E33" s="64" t="n">
        <f aca="false">SUM(E3:E32)</f>
        <v>19155</v>
      </c>
      <c r="F33" s="64" t="n">
        <f aca="false">SUM(F3:F32)</f>
        <v>31925</v>
      </c>
    </row>
    <row r="35" customFormat="false" ht="30" hidden="false" customHeight="true" outlineLevel="0" collapsed="false">
      <c r="A35" s="65" t="s">
        <v>389</v>
      </c>
      <c r="B35" s="65"/>
      <c r="C35" s="65"/>
      <c r="D35" s="65"/>
      <c r="E35" s="65"/>
      <c r="F35" s="65"/>
    </row>
  </sheetData>
  <mergeCells count="2">
    <mergeCell ref="A1:F1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16"/>
    <col collapsed="false" customWidth="true" hidden="false" outlineLevel="0" max="12" min="11" style="0" width="13"/>
  </cols>
  <sheetData>
    <row r="1" customFormat="false" ht="30" hidden="false" customHeight="true" outlineLevel="0" collapsed="false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3" t="s">
        <v>391</v>
      </c>
      <c r="B2" s="3" t="s">
        <v>392</v>
      </c>
      <c r="C2" s="3" t="s">
        <v>393</v>
      </c>
      <c r="D2" s="3" t="s">
        <v>394</v>
      </c>
      <c r="E2" s="3" t="s">
        <v>395</v>
      </c>
      <c r="F2" s="3" t="s">
        <v>396</v>
      </c>
      <c r="G2" s="3" t="s">
        <v>397</v>
      </c>
      <c r="H2" s="3" t="s">
        <v>398</v>
      </c>
      <c r="I2" s="3" t="s">
        <v>399</v>
      </c>
      <c r="J2" s="3" t="s">
        <v>288</v>
      </c>
      <c r="K2" s="3" t="s">
        <v>292</v>
      </c>
      <c r="L2" s="3" t="s">
        <v>400</v>
      </c>
    </row>
    <row r="3" customFormat="false" ht="55.5" hidden="false" customHeight="true" outlineLevel="0" collapsed="false">
      <c r="A3" s="29" t="s">
        <v>401</v>
      </c>
      <c r="B3" s="66" t="s">
        <v>402</v>
      </c>
      <c r="C3" s="18" t="s">
        <v>403</v>
      </c>
      <c r="D3" s="42" t="s">
        <v>404</v>
      </c>
      <c r="E3" s="67" t="n">
        <v>4</v>
      </c>
      <c r="F3" s="67" t="n">
        <v>5</v>
      </c>
      <c r="G3" s="67" t="n">
        <v>20</v>
      </c>
      <c r="H3" s="68" t="s">
        <v>405</v>
      </c>
      <c r="I3" s="18" t="s">
        <v>406</v>
      </c>
      <c r="J3" s="18" t="s">
        <v>330</v>
      </c>
      <c r="K3" s="68" t="s">
        <v>407</v>
      </c>
      <c r="L3" s="69" t="s">
        <v>408</v>
      </c>
    </row>
    <row r="4" customFormat="false" ht="55.5" hidden="false" customHeight="true" outlineLevel="0" collapsed="false">
      <c r="A4" s="29" t="s">
        <v>409</v>
      </c>
      <c r="B4" s="70" t="s">
        <v>410</v>
      </c>
      <c r="C4" s="7" t="s">
        <v>411</v>
      </c>
      <c r="D4" s="46" t="s">
        <v>360</v>
      </c>
      <c r="E4" s="71" t="n">
        <v>2</v>
      </c>
      <c r="F4" s="71" t="n">
        <v>5</v>
      </c>
      <c r="G4" s="71" t="n">
        <v>10</v>
      </c>
      <c r="H4" s="27" t="s">
        <v>412</v>
      </c>
      <c r="I4" s="7" t="s">
        <v>413</v>
      </c>
      <c r="J4" s="7" t="s">
        <v>414</v>
      </c>
      <c r="K4" s="72" t="s">
        <v>407</v>
      </c>
      <c r="L4" s="73" t="s">
        <v>361</v>
      </c>
    </row>
    <row r="5" customFormat="false" ht="55.5" hidden="false" customHeight="true" outlineLevel="0" collapsed="false">
      <c r="A5" s="29" t="s">
        <v>415</v>
      </c>
      <c r="B5" s="66" t="s">
        <v>410</v>
      </c>
      <c r="C5" s="18" t="s">
        <v>416</v>
      </c>
      <c r="D5" s="42" t="s">
        <v>417</v>
      </c>
      <c r="E5" s="67" t="n">
        <v>2</v>
      </c>
      <c r="F5" s="67" t="n">
        <v>5</v>
      </c>
      <c r="G5" s="67" t="n">
        <v>10</v>
      </c>
      <c r="H5" s="28" t="s">
        <v>412</v>
      </c>
      <c r="I5" s="18" t="s">
        <v>418</v>
      </c>
      <c r="J5" s="18" t="s">
        <v>410</v>
      </c>
      <c r="K5" s="68" t="s">
        <v>407</v>
      </c>
      <c r="L5" s="69" t="s">
        <v>332</v>
      </c>
    </row>
    <row r="6" customFormat="false" ht="55.5" hidden="false" customHeight="true" outlineLevel="0" collapsed="false">
      <c r="A6" s="29" t="s">
        <v>419</v>
      </c>
      <c r="B6" s="70" t="s">
        <v>402</v>
      </c>
      <c r="C6" s="7" t="s">
        <v>420</v>
      </c>
      <c r="D6" s="46" t="s">
        <v>421</v>
      </c>
      <c r="E6" s="71" t="n">
        <v>3</v>
      </c>
      <c r="F6" s="71" t="n">
        <v>5</v>
      </c>
      <c r="G6" s="71" t="n">
        <v>15</v>
      </c>
      <c r="H6" s="72" t="s">
        <v>405</v>
      </c>
      <c r="I6" s="7" t="s">
        <v>422</v>
      </c>
      <c r="J6" s="7" t="s">
        <v>423</v>
      </c>
      <c r="K6" s="72" t="s">
        <v>407</v>
      </c>
      <c r="L6" s="73" t="s">
        <v>424</v>
      </c>
    </row>
    <row r="7" customFormat="false" ht="55.5" hidden="false" customHeight="true" outlineLevel="0" collapsed="false">
      <c r="A7" s="29" t="s">
        <v>425</v>
      </c>
      <c r="B7" s="66" t="s">
        <v>426</v>
      </c>
      <c r="C7" s="18" t="s">
        <v>427</v>
      </c>
      <c r="D7" s="42" t="s">
        <v>428</v>
      </c>
      <c r="E7" s="67" t="n">
        <v>3</v>
      </c>
      <c r="F7" s="67" t="n">
        <v>3</v>
      </c>
      <c r="G7" s="67" t="n">
        <v>9</v>
      </c>
      <c r="H7" s="28" t="s">
        <v>412</v>
      </c>
      <c r="I7" s="18" t="s">
        <v>429</v>
      </c>
      <c r="J7" s="18" t="s">
        <v>372</v>
      </c>
      <c r="K7" s="68" t="s">
        <v>407</v>
      </c>
      <c r="L7" s="69" t="s">
        <v>430</v>
      </c>
    </row>
    <row r="8" customFormat="false" ht="55.5" hidden="false" customHeight="true" outlineLevel="0" collapsed="false">
      <c r="A8" s="29" t="s">
        <v>431</v>
      </c>
      <c r="B8" s="70" t="s">
        <v>402</v>
      </c>
      <c r="C8" s="7" t="s">
        <v>432</v>
      </c>
      <c r="D8" s="46" t="s">
        <v>433</v>
      </c>
      <c r="E8" s="71" t="n">
        <v>3</v>
      </c>
      <c r="F8" s="71" t="n">
        <v>4</v>
      </c>
      <c r="G8" s="71" t="n">
        <v>12</v>
      </c>
      <c r="H8" s="27" t="s">
        <v>412</v>
      </c>
      <c r="I8" s="7" t="s">
        <v>434</v>
      </c>
      <c r="J8" s="7" t="s">
        <v>435</v>
      </c>
      <c r="K8" s="72" t="s">
        <v>407</v>
      </c>
      <c r="L8" s="73" t="s">
        <v>436</v>
      </c>
    </row>
    <row r="9" customFormat="false" ht="55.5" hidden="false" customHeight="true" outlineLevel="0" collapsed="false">
      <c r="A9" s="29" t="s">
        <v>437</v>
      </c>
      <c r="B9" s="66" t="s">
        <v>402</v>
      </c>
      <c r="C9" s="18" t="s">
        <v>438</v>
      </c>
      <c r="D9" s="42" t="s">
        <v>439</v>
      </c>
      <c r="E9" s="67" t="n">
        <v>3</v>
      </c>
      <c r="F9" s="67" t="n">
        <v>4</v>
      </c>
      <c r="G9" s="67" t="n">
        <v>12</v>
      </c>
      <c r="H9" s="28" t="s">
        <v>412</v>
      </c>
      <c r="I9" s="18" t="s">
        <v>440</v>
      </c>
      <c r="J9" s="18" t="s">
        <v>441</v>
      </c>
      <c r="K9" s="68" t="s">
        <v>407</v>
      </c>
      <c r="L9" s="69" t="s">
        <v>332</v>
      </c>
    </row>
    <row r="10" customFormat="false" ht="55.5" hidden="false" customHeight="true" outlineLevel="0" collapsed="false">
      <c r="A10" s="29" t="s">
        <v>442</v>
      </c>
      <c r="B10" s="70" t="s">
        <v>443</v>
      </c>
      <c r="C10" s="7" t="s">
        <v>444</v>
      </c>
      <c r="D10" s="46" t="s">
        <v>445</v>
      </c>
      <c r="E10" s="71" t="n">
        <v>3</v>
      </c>
      <c r="F10" s="71" t="n">
        <v>5</v>
      </c>
      <c r="G10" s="71" t="n">
        <v>15</v>
      </c>
      <c r="H10" s="72" t="s">
        <v>405</v>
      </c>
      <c r="I10" s="7" t="s">
        <v>446</v>
      </c>
      <c r="J10" s="7" t="s">
        <v>359</v>
      </c>
      <c r="K10" s="72" t="s">
        <v>407</v>
      </c>
      <c r="L10" s="73" t="s">
        <v>365</v>
      </c>
    </row>
    <row r="11" customFormat="false" ht="55.5" hidden="false" customHeight="true" outlineLevel="0" collapsed="false">
      <c r="A11" s="29" t="s">
        <v>447</v>
      </c>
      <c r="B11" s="66" t="s">
        <v>448</v>
      </c>
      <c r="C11" s="18" t="s">
        <v>449</v>
      </c>
      <c r="D11" s="42" t="s">
        <v>450</v>
      </c>
      <c r="E11" s="67" t="n">
        <v>3</v>
      </c>
      <c r="F11" s="67" t="n">
        <v>4</v>
      </c>
      <c r="G11" s="67" t="n">
        <v>12</v>
      </c>
      <c r="H11" s="28" t="s">
        <v>412</v>
      </c>
      <c r="I11" s="18" t="s">
        <v>451</v>
      </c>
      <c r="J11" s="18" t="s">
        <v>314</v>
      </c>
      <c r="K11" s="68" t="s">
        <v>407</v>
      </c>
      <c r="L11" s="69" t="s">
        <v>424</v>
      </c>
    </row>
    <row r="12" customFormat="false" ht="55.5" hidden="false" customHeight="true" outlineLevel="0" collapsed="false">
      <c r="A12" s="29" t="s">
        <v>452</v>
      </c>
      <c r="B12" s="70" t="s">
        <v>402</v>
      </c>
      <c r="C12" s="7" t="s">
        <v>453</v>
      </c>
      <c r="D12" s="46" t="s">
        <v>67</v>
      </c>
      <c r="E12" s="71" t="n">
        <v>3</v>
      </c>
      <c r="F12" s="71" t="n">
        <v>3</v>
      </c>
      <c r="G12" s="71" t="n">
        <v>9</v>
      </c>
      <c r="H12" s="27" t="s">
        <v>412</v>
      </c>
      <c r="I12" s="7" t="s">
        <v>454</v>
      </c>
      <c r="J12" s="7" t="s">
        <v>324</v>
      </c>
      <c r="K12" s="72" t="s">
        <v>407</v>
      </c>
      <c r="L12" s="73" t="s">
        <v>455</v>
      </c>
    </row>
    <row r="13" customFormat="false" ht="55.5" hidden="false" customHeight="true" outlineLevel="0" collapsed="false">
      <c r="A13" s="29" t="s">
        <v>456</v>
      </c>
      <c r="B13" s="66" t="s">
        <v>457</v>
      </c>
      <c r="C13" s="18" t="s">
        <v>458</v>
      </c>
      <c r="D13" s="42" t="s">
        <v>428</v>
      </c>
      <c r="E13" s="67" t="n">
        <v>3</v>
      </c>
      <c r="F13" s="67" t="n">
        <v>3</v>
      </c>
      <c r="G13" s="67" t="n">
        <v>9</v>
      </c>
      <c r="H13" s="28" t="s">
        <v>412</v>
      </c>
      <c r="I13" s="18" t="s">
        <v>459</v>
      </c>
      <c r="J13" s="18" t="s">
        <v>308</v>
      </c>
      <c r="K13" s="68" t="s">
        <v>407</v>
      </c>
      <c r="L13" s="69" t="s">
        <v>430</v>
      </c>
    </row>
    <row r="14" customFormat="false" ht="55.5" hidden="false" customHeight="true" outlineLevel="0" collapsed="false">
      <c r="A14" s="29" t="s">
        <v>460</v>
      </c>
      <c r="B14" s="70" t="s">
        <v>461</v>
      </c>
      <c r="C14" s="7" t="s">
        <v>462</v>
      </c>
      <c r="D14" s="46" t="s">
        <v>428</v>
      </c>
      <c r="E14" s="71" t="n">
        <v>2</v>
      </c>
      <c r="F14" s="71" t="n">
        <v>3</v>
      </c>
      <c r="G14" s="71" t="n">
        <v>6</v>
      </c>
      <c r="H14" s="74" t="s">
        <v>463</v>
      </c>
      <c r="I14" s="7" t="s">
        <v>464</v>
      </c>
      <c r="J14" s="7" t="s">
        <v>465</v>
      </c>
      <c r="K14" s="48" t="s">
        <v>466</v>
      </c>
      <c r="L14" s="73" t="s">
        <v>299</v>
      </c>
    </row>
    <row r="15" customFormat="false" ht="55.5" hidden="false" customHeight="true" outlineLevel="0" collapsed="false">
      <c r="A15" s="29" t="s">
        <v>467</v>
      </c>
      <c r="B15" s="66" t="s">
        <v>402</v>
      </c>
      <c r="C15" s="18" t="s">
        <v>468</v>
      </c>
      <c r="D15" s="42" t="s">
        <v>469</v>
      </c>
      <c r="E15" s="67" t="n">
        <v>2</v>
      </c>
      <c r="F15" s="67" t="n">
        <v>4</v>
      </c>
      <c r="G15" s="67" t="n">
        <v>8</v>
      </c>
      <c r="H15" s="75" t="s">
        <v>463</v>
      </c>
      <c r="I15" s="18" t="s">
        <v>470</v>
      </c>
      <c r="J15" s="18" t="s">
        <v>471</v>
      </c>
      <c r="K15" s="68" t="s">
        <v>407</v>
      </c>
      <c r="L15" s="69" t="s">
        <v>332</v>
      </c>
    </row>
    <row r="16" customFormat="false" ht="55.5" hidden="false" customHeight="true" outlineLevel="0" collapsed="false">
      <c r="A16" s="29" t="s">
        <v>472</v>
      </c>
      <c r="B16" s="70" t="s">
        <v>402</v>
      </c>
      <c r="C16" s="7" t="s">
        <v>473</v>
      </c>
      <c r="D16" s="46" t="s">
        <v>474</v>
      </c>
      <c r="E16" s="71" t="n">
        <v>3</v>
      </c>
      <c r="F16" s="71" t="n">
        <v>3</v>
      </c>
      <c r="G16" s="71" t="n">
        <v>9</v>
      </c>
      <c r="H16" s="27" t="s">
        <v>412</v>
      </c>
      <c r="I16" s="7" t="s">
        <v>475</v>
      </c>
      <c r="J16" s="7" t="s">
        <v>476</v>
      </c>
      <c r="K16" s="72" t="s">
        <v>407</v>
      </c>
      <c r="L16" s="73" t="s">
        <v>365</v>
      </c>
    </row>
    <row r="17" customFormat="false" ht="55.5" hidden="false" customHeight="true" outlineLevel="0" collapsed="false">
      <c r="A17" s="29" t="s">
        <v>477</v>
      </c>
      <c r="B17" s="66" t="s">
        <v>448</v>
      </c>
      <c r="C17" s="18" t="s">
        <v>478</v>
      </c>
      <c r="D17" s="42" t="s">
        <v>479</v>
      </c>
      <c r="E17" s="67" t="n">
        <v>3</v>
      </c>
      <c r="F17" s="67" t="n">
        <v>3</v>
      </c>
      <c r="G17" s="67" t="n">
        <v>9</v>
      </c>
      <c r="H17" s="28" t="s">
        <v>412</v>
      </c>
      <c r="I17" s="18" t="s">
        <v>480</v>
      </c>
      <c r="J17" s="18" t="s">
        <v>481</v>
      </c>
      <c r="K17" s="68" t="s">
        <v>407</v>
      </c>
      <c r="L17" s="69" t="s">
        <v>436</v>
      </c>
    </row>
    <row r="18" customFormat="false" ht="55.5" hidden="false" customHeight="true" outlineLevel="0" collapsed="false">
      <c r="A18" s="29" t="s">
        <v>482</v>
      </c>
      <c r="B18" s="70" t="s">
        <v>426</v>
      </c>
      <c r="C18" s="7" t="s">
        <v>483</v>
      </c>
      <c r="D18" s="46" t="s">
        <v>428</v>
      </c>
      <c r="E18" s="71" t="n">
        <v>2</v>
      </c>
      <c r="F18" s="71" t="n">
        <v>3</v>
      </c>
      <c r="G18" s="71" t="n">
        <v>6</v>
      </c>
      <c r="H18" s="74" t="s">
        <v>463</v>
      </c>
      <c r="I18" s="7" t="s">
        <v>484</v>
      </c>
      <c r="J18" s="7" t="s">
        <v>372</v>
      </c>
      <c r="K18" s="72" t="s">
        <v>407</v>
      </c>
      <c r="L18" s="73" t="s">
        <v>379</v>
      </c>
    </row>
    <row r="19" customFormat="false" ht="55.5" hidden="false" customHeight="true" outlineLevel="0" collapsed="false">
      <c r="A19" s="29" t="s">
        <v>485</v>
      </c>
      <c r="B19" s="66" t="s">
        <v>402</v>
      </c>
      <c r="C19" s="18" t="s">
        <v>486</v>
      </c>
      <c r="D19" s="42" t="s">
        <v>487</v>
      </c>
      <c r="E19" s="67" t="n">
        <v>2</v>
      </c>
      <c r="F19" s="67" t="n">
        <v>4</v>
      </c>
      <c r="G19" s="67" t="n">
        <v>8</v>
      </c>
      <c r="H19" s="75" t="s">
        <v>463</v>
      </c>
      <c r="I19" s="18" t="s">
        <v>488</v>
      </c>
      <c r="J19" s="18" t="s">
        <v>489</v>
      </c>
      <c r="K19" s="68" t="s">
        <v>407</v>
      </c>
      <c r="L19" s="69" t="s">
        <v>490</v>
      </c>
    </row>
    <row r="20" customFormat="false" ht="55.5" hidden="false" customHeight="true" outlineLevel="0" collapsed="false">
      <c r="A20" s="29" t="s">
        <v>491</v>
      </c>
      <c r="B20" s="70" t="s">
        <v>492</v>
      </c>
      <c r="C20" s="7" t="s">
        <v>493</v>
      </c>
      <c r="D20" s="46" t="s">
        <v>428</v>
      </c>
      <c r="E20" s="71" t="n">
        <v>2</v>
      </c>
      <c r="F20" s="71" t="n">
        <v>3</v>
      </c>
      <c r="G20" s="71" t="n">
        <v>6</v>
      </c>
      <c r="H20" s="74" t="s">
        <v>463</v>
      </c>
      <c r="I20" s="7" t="s">
        <v>494</v>
      </c>
      <c r="J20" s="7" t="s">
        <v>495</v>
      </c>
      <c r="K20" s="72" t="s">
        <v>407</v>
      </c>
      <c r="L20" s="73" t="s">
        <v>430</v>
      </c>
    </row>
    <row r="22" customFormat="false" ht="15" hidden="false" customHeight="false" outlineLevel="0" collapsed="false">
      <c r="A22" s="35" t="s">
        <v>496</v>
      </c>
      <c r="B22" s="35"/>
      <c r="C22" s="35"/>
    </row>
    <row r="23" customFormat="false" ht="15" hidden="false" customHeight="false" outlineLevel="0" collapsed="false">
      <c r="A23" s="76" t="s">
        <v>497</v>
      </c>
      <c r="B23" s="77" t="s">
        <v>498</v>
      </c>
      <c r="C23" s="77"/>
      <c r="D23" s="77"/>
    </row>
    <row r="24" customFormat="false" ht="15" hidden="false" customHeight="false" outlineLevel="0" collapsed="false">
      <c r="A24" s="78" t="s">
        <v>499</v>
      </c>
      <c r="B24" s="77" t="s">
        <v>500</v>
      </c>
      <c r="C24" s="77"/>
      <c r="D24" s="77"/>
    </row>
    <row r="25" customFormat="false" ht="15" hidden="false" customHeight="false" outlineLevel="0" collapsed="false">
      <c r="A25" s="79" t="s">
        <v>501</v>
      </c>
      <c r="B25" s="77" t="s">
        <v>502</v>
      </c>
      <c r="C25" s="77"/>
      <c r="D25" s="77"/>
    </row>
    <row r="26" customFormat="false" ht="15" hidden="false" customHeight="false" outlineLevel="0" collapsed="false">
      <c r="A26" s="80" t="s">
        <v>503</v>
      </c>
      <c r="B26" s="77" t="s">
        <v>504</v>
      </c>
      <c r="C26" s="77"/>
      <c r="D26" s="77"/>
    </row>
  </sheetData>
  <mergeCells count="6">
    <mergeCell ref="A1:L1"/>
    <mergeCell ref="A22:C22"/>
    <mergeCell ref="B23:D23"/>
    <mergeCell ref="B24:D24"/>
    <mergeCell ref="B25:D25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2026-06-30T14:56:18Z</dcterms:created>
  <dc:creator>openpyxl</dc:creator>
  <dc:description/>
  <dc:language>en-US</dc:language>
  <cp:lastModifiedBy/>
  <dcterms:modified xsi:type="dcterms:W3CDTF">2026-06-30T14:56:18Z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